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castano-san\Documents\GitHub\E.Coli-model\data\raw\unused\"/>
    </mc:Choice>
  </mc:AlternateContent>
  <xr:revisionPtr revIDLastSave="0" documentId="13_ncr:1_{41645428-7E9C-45B9-919F-60DE4F8006B2}" xr6:coauthVersionLast="47" xr6:coauthVersionMax="47" xr10:uidLastSave="{00000000-0000-0000-0000-000000000000}"/>
  <bookViews>
    <workbookView minimized="1" xWindow="2655" yWindow="-13830" windowWidth="14340" windowHeight="8145" xr2:uid="{00000000-000D-0000-FFFF-FFFF00000000}"/>
  </bookViews>
  <sheets>
    <sheet name="Sheet1" sheetId="1" r:id="rId1"/>
  </sheets>
  <definedNames>
    <definedName name="_xlnm._FilterDatabase" localSheetId="0" hidden="1">Sheet1!$A$1:$AO$152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27" i="1" l="1"/>
  <c r="AH102" i="1"/>
  <c r="AH149" i="1"/>
  <c r="AH150" i="1"/>
  <c r="AH151" i="1"/>
  <c r="AH152" i="1"/>
  <c r="AH148" i="1"/>
  <c r="AH147" i="1"/>
  <c r="AH146" i="1"/>
  <c r="AH145" i="1"/>
  <c r="AH144" i="1"/>
  <c r="AH143" i="1"/>
  <c r="AH142" i="1"/>
  <c r="AH141" i="1"/>
  <c r="AH140" i="1"/>
  <c r="AH139" i="1"/>
  <c r="AH138" i="1"/>
  <c r="AH126" i="1"/>
  <c r="AH125" i="1"/>
  <c r="AH124" i="1"/>
  <c r="AH123" i="1"/>
  <c r="AH122" i="1"/>
  <c r="AH121" i="1"/>
  <c r="AH120" i="1"/>
  <c r="AH119" i="1"/>
  <c r="AH118" i="1"/>
  <c r="AH117" i="1"/>
  <c r="AH97" i="1"/>
  <c r="AH98" i="1"/>
  <c r="AH99" i="1"/>
  <c r="AH100" i="1"/>
  <c r="AH101" i="1"/>
  <c r="AH96" i="1"/>
  <c r="AH95" i="1"/>
  <c r="AH94" i="1"/>
  <c r="AH93" i="1"/>
  <c r="AH92" i="1"/>
  <c r="AH91" i="1"/>
  <c r="AH75" i="1"/>
  <c r="AH74" i="1"/>
  <c r="AH73" i="1"/>
  <c r="AH72" i="1"/>
  <c r="AH71" i="1"/>
  <c r="AH70" i="1"/>
  <c r="AH54" i="1"/>
  <c r="AH53" i="1"/>
  <c r="AH52" i="1"/>
  <c r="AH51" i="1"/>
  <c r="AH50" i="1"/>
  <c r="AH49" i="1"/>
  <c r="AH33" i="1"/>
  <c r="AH32" i="1"/>
  <c r="AH31" i="1"/>
  <c r="AH30" i="1"/>
  <c r="AH29" i="1"/>
  <c r="AH28" i="1"/>
  <c r="AH17" i="1"/>
  <c r="AH18" i="1"/>
  <c r="AH10" i="1"/>
  <c r="AH16" i="1"/>
  <c r="AH15" i="1"/>
  <c r="AH14" i="1"/>
  <c r="AH13" i="1"/>
  <c r="AH12" i="1"/>
  <c r="AH11" i="1"/>
  <c r="AG137" i="1"/>
  <c r="AG136" i="1"/>
  <c r="AG135" i="1"/>
  <c r="AG134" i="1"/>
  <c r="AG133" i="1"/>
  <c r="AG132" i="1"/>
  <c r="AF131" i="1"/>
  <c r="AF130" i="1"/>
  <c r="AF129" i="1"/>
  <c r="AG116" i="1"/>
  <c r="AG115" i="1"/>
  <c r="AG114" i="1"/>
  <c r="AG113" i="1"/>
  <c r="AG112" i="1"/>
  <c r="AG111" i="1"/>
  <c r="AG110" i="1"/>
  <c r="AG109" i="1"/>
  <c r="AG108" i="1"/>
  <c r="AG107" i="1"/>
  <c r="AF106" i="1"/>
  <c r="AF105" i="1"/>
  <c r="AF104" i="1"/>
  <c r="AG90" i="1"/>
  <c r="AG89" i="1"/>
  <c r="AG88" i="1"/>
  <c r="AG87" i="1"/>
  <c r="AG86" i="1"/>
  <c r="AG85" i="1"/>
  <c r="AG84" i="1"/>
  <c r="AG83" i="1"/>
  <c r="AG82" i="1"/>
  <c r="AF81" i="1"/>
  <c r="AF80" i="1"/>
  <c r="AF79" i="1"/>
  <c r="AF78" i="1"/>
  <c r="AF77" i="1"/>
  <c r="AG69" i="1"/>
  <c r="AG68" i="1"/>
  <c r="AG67" i="1"/>
  <c r="AG66" i="1"/>
  <c r="AG65" i="1"/>
  <c r="AF64" i="1"/>
  <c r="AF63" i="1"/>
  <c r="AF62" i="1"/>
  <c r="AF61" i="1"/>
  <c r="AF60" i="1"/>
  <c r="AF59" i="1"/>
  <c r="AF58" i="1"/>
  <c r="AF57" i="1"/>
  <c r="AF56" i="1"/>
  <c r="AG47" i="1"/>
  <c r="AG48" i="1"/>
  <c r="AG43" i="1"/>
  <c r="AG44" i="1"/>
  <c r="AG45" i="1"/>
  <c r="AG46" i="1"/>
  <c r="AF35" i="1"/>
  <c r="AG42" i="1"/>
  <c r="AF41" i="1"/>
  <c r="AF40" i="1"/>
  <c r="AF39" i="1"/>
  <c r="AF38" i="1"/>
  <c r="AF37" i="1"/>
  <c r="AF36" i="1"/>
  <c r="AG27" i="1"/>
  <c r="AG26" i="1"/>
  <c r="AG25" i="1"/>
  <c r="AG24" i="1"/>
  <c r="AF23" i="1"/>
  <c r="AF22" i="1"/>
  <c r="AF21" i="1"/>
  <c r="AF20" i="1"/>
  <c r="AF3" i="1"/>
  <c r="AM133" i="1" s="1"/>
  <c r="AF4" i="1"/>
  <c r="AF5" i="1"/>
  <c r="AG6" i="1"/>
  <c r="AG7" i="1"/>
  <c r="AG8" i="1"/>
  <c r="AG9" i="1"/>
  <c r="AM131" i="1" l="1"/>
  <c r="AM130" i="1" s="1"/>
  <c r="AL138" i="1"/>
  <c r="AL147" i="1"/>
  <c r="AL131" i="1"/>
  <c r="AN131" i="1" s="1"/>
  <c r="AO131" i="1"/>
  <c r="AL133" i="1"/>
  <c r="AM147" i="1"/>
  <c r="AM145" i="1"/>
  <c r="AL145" i="1"/>
  <c r="AM138" i="1"/>
  <c r="AM137" i="1" s="1"/>
  <c r="AM140" i="1"/>
  <c r="AL140" i="1"/>
  <c r="AL130" i="1" l="1"/>
  <c r="AM144" i="1"/>
  <c r="AQ145" i="1"/>
  <c r="AN138" i="1"/>
  <c r="AO138" i="1"/>
  <c r="AN145" i="1"/>
  <c r="AO145" i="1"/>
  <c r="AL144" i="1"/>
  <c r="AL137" i="1"/>
  <c r="AQ148" i="1" l="1"/>
  <c r="AQ147" i="1"/>
</calcChain>
</file>

<file path=xl/sharedStrings.xml><?xml version="1.0" encoding="utf-8"?>
<sst xmlns="http://schemas.openxmlformats.org/spreadsheetml/2006/main" count="517" uniqueCount="63">
  <si>
    <t>Run_ID</t>
  </si>
  <si>
    <t>Run_T</t>
  </si>
  <si>
    <t>time</t>
  </si>
  <si>
    <t>t</t>
  </si>
  <si>
    <t>I</t>
  </si>
  <si>
    <t>X</t>
  </si>
  <si>
    <t>S</t>
  </si>
  <si>
    <t>V</t>
  </si>
  <si>
    <t>P</t>
  </si>
  <si>
    <t>T</t>
  </si>
  <si>
    <t>dXdt</t>
  </si>
  <si>
    <t>dSdt</t>
  </si>
  <si>
    <t>dVdt</t>
  </si>
  <si>
    <t>dPdt</t>
  </si>
  <si>
    <t>T_ind</t>
  </si>
  <si>
    <t>t_ind</t>
  </si>
  <si>
    <t>t_ind_ad</t>
  </si>
  <si>
    <t>Xlag1</t>
  </si>
  <si>
    <t>Plag1</t>
  </si>
  <si>
    <t>X_calc</t>
  </si>
  <si>
    <t>V_calc</t>
  </si>
  <si>
    <t>mu_calc</t>
  </si>
  <si>
    <t>dXdt_calc</t>
  </si>
  <si>
    <t>dVdt_calc</t>
  </si>
  <si>
    <t>FS_calc</t>
  </si>
  <si>
    <t>Xlag1_calc</t>
  </si>
  <si>
    <t>mu</t>
  </si>
  <si>
    <t>qP</t>
  </si>
  <si>
    <t>rP</t>
  </si>
  <si>
    <t>qP_calc</t>
  </si>
  <si>
    <t>rP_calc</t>
  </si>
  <si>
    <t>BR02</t>
  </si>
  <si>
    <t>BR02_T_28</t>
  </si>
  <si>
    <t>28</t>
  </si>
  <si>
    <t>BR03</t>
  </si>
  <si>
    <t>BR03_T_30</t>
  </si>
  <si>
    <t>30</t>
  </si>
  <si>
    <t>BR04</t>
  </si>
  <si>
    <t>BR04_T_33</t>
  </si>
  <si>
    <t>33</t>
  </si>
  <si>
    <t>BR05</t>
  </si>
  <si>
    <t>BR05_T_37</t>
  </si>
  <si>
    <t>37</t>
  </si>
  <si>
    <t>BR07</t>
  </si>
  <si>
    <t>BR07_T_32</t>
  </si>
  <si>
    <t>32</t>
  </si>
  <si>
    <t>BR08</t>
  </si>
  <si>
    <t>BR08_T_29</t>
  </si>
  <si>
    <t>29</t>
  </si>
  <si>
    <t>BR09</t>
  </si>
  <si>
    <t>BR09_T_29</t>
  </si>
  <si>
    <t>MAX</t>
  </si>
  <si>
    <t>MIN</t>
  </si>
  <si>
    <t xml:space="preserve">MEAN </t>
  </si>
  <si>
    <t>STD</t>
  </si>
  <si>
    <t>h</t>
  </si>
  <si>
    <t>min</t>
  </si>
  <si>
    <t>+</t>
  </si>
  <si>
    <t>-</t>
  </si>
  <si>
    <t>units</t>
  </si>
  <si>
    <t>batch</t>
  </si>
  <si>
    <t>fb</t>
  </si>
  <si>
    <t>induction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</si>
</sst>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Border="1" applyAlignment="1">
      <alignment horizontal="center" vertical="top"/>
    </xf>
    <xf numFmtId="0" fontId="0" fillId="0" borderId="0" xfId="0" quotePrefix="1"/>
    <xf numFmtId="0" fontId="1" fillId="0" borderId="0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3"/>
  <sheetViews>
    <sheetView tabSelected="1" topLeftCell="A119" zoomScale="115" zoomScaleNormal="115" workbookViewId="0">
      <selection activeCell="I2" sqref="I2:I152"/>
    </sheetView>
  </sheetViews>
  <sheetFormatPr defaultRowHeight="14.5" x14ac:dyDescent="0.35"/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60</v>
      </c>
      <c r="AG1" s="5" t="s">
        <v>61</v>
      </c>
      <c r="AH1" s="5" t="s">
        <v>62</v>
      </c>
    </row>
    <row r="2" spans="1:40" x14ac:dyDescent="0.35">
      <c r="A2" t="s">
        <v>31</v>
      </c>
      <c r="B2" t="s">
        <v>32</v>
      </c>
      <c r="C2">
        <v>0</v>
      </c>
      <c r="D2">
        <v>0</v>
      </c>
      <c r="E2">
        <v>0</v>
      </c>
      <c r="F2">
        <v>0.23752688172042469</v>
      </c>
      <c r="G2">
        <v>8.5299999999999994</v>
      </c>
      <c r="H2">
        <v>1.5009191511936339</v>
      </c>
      <c r="I2">
        <v>0</v>
      </c>
      <c r="J2">
        <v>36.975000000000001</v>
      </c>
      <c r="K2">
        <v>0.65877033611873015</v>
      </c>
      <c r="L2">
        <v>-0.27169642465452348</v>
      </c>
      <c r="M2">
        <v>-2.6301029880558598E-2</v>
      </c>
      <c r="N2">
        <v>0</v>
      </c>
      <c r="O2" t="s">
        <v>33</v>
      </c>
      <c r="P2">
        <v>-8</v>
      </c>
      <c r="Q2">
        <v>-0.39735099337748342</v>
      </c>
      <c r="R2">
        <v>0.23752688172042469</v>
      </c>
      <c r="S2">
        <v>0</v>
      </c>
      <c r="T2">
        <v>0.23752688172042469</v>
      </c>
      <c r="U2">
        <v>1.5009191511936339</v>
      </c>
      <c r="V2">
        <v>0.86978738043538084</v>
      </c>
      <c r="W2">
        <v>0.2065978842345928</v>
      </c>
      <c r="X2">
        <v>0</v>
      </c>
      <c r="Y2">
        <v>0</v>
      </c>
      <c r="Z2">
        <v>0.23752688172042469</v>
      </c>
      <c r="AA2">
        <v>2.7559326371540518</v>
      </c>
      <c r="AB2">
        <v>0</v>
      </c>
      <c r="AC2">
        <v>0</v>
      </c>
      <c r="AD2">
        <v>0</v>
      </c>
      <c r="AE2">
        <v>0</v>
      </c>
    </row>
    <row r="3" spans="1:40" x14ac:dyDescent="0.35">
      <c r="A3" t="s">
        <v>31</v>
      </c>
      <c r="B3" t="s">
        <v>32</v>
      </c>
      <c r="C3">
        <v>0.8333333333333357</v>
      </c>
      <c r="D3">
        <v>0.8333333333333357</v>
      </c>
      <c r="E3">
        <v>0</v>
      </c>
      <c r="F3">
        <v>0.75819444444439699</v>
      </c>
      <c r="G3">
        <v>7.95</v>
      </c>
      <c r="H3">
        <v>1.478419151193634</v>
      </c>
      <c r="I3">
        <v>0</v>
      </c>
      <c r="J3">
        <v>36.989999999999988</v>
      </c>
      <c r="K3">
        <v>0.61490102660657719</v>
      </c>
      <c r="L3">
        <v>-1.004893052775732</v>
      </c>
      <c r="M3">
        <v>-2.674277204343322E-2</v>
      </c>
      <c r="N3">
        <v>0</v>
      </c>
      <c r="O3" t="s">
        <v>33</v>
      </c>
      <c r="P3">
        <v>-7.1666666666666643</v>
      </c>
      <c r="Q3">
        <v>-0.35596026490066213</v>
      </c>
      <c r="R3">
        <v>0.23752688172042469</v>
      </c>
      <c r="S3">
        <v>0</v>
      </c>
      <c r="T3">
        <v>0.49034208940357382</v>
      </c>
      <c r="U3">
        <v>1.5009191511936339</v>
      </c>
      <c r="V3">
        <v>0.86978645946357191</v>
      </c>
      <c r="W3">
        <v>0.42649290986830468</v>
      </c>
      <c r="X3">
        <v>0</v>
      </c>
      <c r="Y3">
        <v>0</v>
      </c>
      <c r="Z3">
        <v>0.23752688172042469</v>
      </c>
      <c r="AA3">
        <v>0.79291827079100818</v>
      </c>
      <c r="AB3">
        <v>0</v>
      </c>
      <c r="AC3">
        <v>0</v>
      </c>
      <c r="AD3">
        <v>0</v>
      </c>
      <c r="AE3">
        <v>0</v>
      </c>
      <c r="AF3">
        <f>C3-C2</f>
        <v>0.8333333333333357</v>
      </c>
      <c r="AN3" s="2">
        <v>8</v>
      </c>
    </row>
    <row r="4" spans="1:40" x14ac:dyDescent="0.35">
      <c r="A4" t="s">
        <v>31</v>
      </c>
      <c r="B4" t="s">
        <v>32</v>
      </c>
      <c r="C4">
        <v>1.6166666666666649</v>
      </c>
      <c r="D4">
        <v>1.6166666666666649</v>
      </c>
      <c r="E4">
        <v>0</v>
      </c>
      <c r="F4">
        <v>1.19599999999993</v>
      </c>
      <c r="G4">
        <v>6.7600000000000007</v>
      </c>
      <c r="H4">
        <v>1.4562069496021219</v>
      </c>
      <c r="I4">
        <v>0</v>
      </c>
      <c r="J4">
        <v>37.005000000000003</v>
      </c>
      <c r="K4">
        <v>1.051072612561061</v>
      </c>
      <c r="L4">
        <v>-2.4475450155794918</v>
      </c>
      <c r="M4">
        <v>-1.7955659747432288E-2</v>
      </c>
      <c r="N4">
        <v>0</v>
      </c>
      <c r="O4" t="s">
        <v>33</v>
      </c>
      <c r="P4">
        <v>-6.3833333333333346</v>
      </c>
      <c r="Q4">
        <v>-0.31705298013245042</v>
      </c>
      <c r="R4">
        <v>0.75819444444439699</v>
      </c>
      <c r="S4">
        <v>0</v>
      </c>
      <c r="T4">
        <v>0.96916541909236942</v>
      </c>
      <c r="U4">
        <v>1.5009191511936339</v>
      </c>
      <c r="V4">
        <v>0.86978428769250915</v>
      </c>
      <c r="W4">
        <v>0.84296485370146867</v>
      </c>
      <c r="X4">
        <v>0</v>
      </c>
      <c r="Y4">
        <v>0</v>
      </c>
      <c r="Z4">
        <v>0.49034208940357382</v>
      </c>
      <c r="AA4">
        <v>0.86649282335197875</v>
      </c>
      <c r="AB4">
        <v>0</v>
      </c>
      <c r="AC4">
        <v>0</v>
      </c>
      <c r="AD4">
        <v>0</v>
      </c>
      <c r="AE4">
        <v>0</v>
      </c>
      <c r="AF4">
        <f>C4-C3</f>
        <v>0.78333333333332922</v>
      </c>
      <c r="AN4" s="2">
        <v>7.5999999999999943</v>
      </c>
    </row>
    <row r="5" spans="1:40" x14ac:dyDescent="0.35">
      <c r="A5" t="s">
        <v>31</v>
      </c>
      <c r="B5" t="s">
        <v>32</v>
      </c>
      <c r="C5">
        <v>3.3833333333333382</v>
      </c>
      <c r="D5">
        <v>3.3833333333333382</v>
      </c>
      <c r="E5">
        <v>0</v>
      </c>
      <c r="F5">
        <v>5.0254400000000006</v>
      </c>
      <c r="G5">
        <v>0.36499999999999999</v>
      </c>
      <c r="H5">
        <v>1.461190995716436</v>
      </c>
      <c r="I5">
        <v>0</v>
      </c>
      <c r="J5">
        <v>37.11</v>
      </c>
      <c r="K5">
        <v>2.136653079693914</v>
      </c>
      <c r="L5">
        <v>-1.8617771046023119</v>
      </c>
      <c r="M5">
        <v>2.0319372890749351E-2</v>
      </c>
      <c r="N5">
        <v>0</v>
      </c>
      <c r="O5" t="s">
        <v>33</v>
      </c>
      <c r="P5">
        <v>-4.6166666666666618</v>
      </c>
      <c r="Q5">
        <v>-0.2293046357615891</v>
      </c>
      <c r="R5">
        <v>1.19599999999993</v>
      </c>
      <c r="S5">
        <v>0</v>
      </c>
      <c r="T5">
        <v>3.954474381720428</v>
      </c>
      <c r="U5">
        <v>1.5009191511936339</v>
      </c>
      <c r="V5">
        <v>0</v>
      </c>
      <c r="W5">
        <v>0</v>
      </c>
      <c r="X5">
        <v>0</v>
      </c>
      <c r="Y5">
        <v>0</v>
      </c>
      <c r="Z5">
        <v>0.96916541909236942</v>
      </c>
      <c r="AA5">
        <v>0.43907339922632432</v>
      </c>
      <c r="AB5">
        <v>0</v>
      </c>
      <c r="AC5">
        <v>0</v>
      </c>
      <c r="AD5">
        <v>0</v>
      </c>
      <c r="AE5">
        <v>0</v>
      </c>
      <c r="AF5">
        <f>C5-C4</f>
        <v>1.7666666666666733</v>
      </c>
      <c r="AN5" s="2">
        <v>7.2833333333333385</v>
      </c>
    </row>
    <row r="6" spans="1:40" x14ac:dyDescent="0.35">
      <c r="A6" t="s">
        <v>31</v>
      </c>
      <c r="B6" t="s">
        <v>32</v>
      </c>
      <c r="C6">
        <v>4.1166666666666689</v>
      </c>
      <c r="D6">
        <v>4.1166666666666689</v>
      </c>
      <c r="E6">
        <v>0</v>
      </c>
      <c r="F6">
        <v>6.1750000000000096</v>
      </c>
      <c r="G6">
        <v>0</v>
      </c>
      <c r="H6">
        <v>1.4839809020232391</v>
      </c>
      <c r="I6">
        <v>0</v>
      </c>
      <c r="J6">
        <v>36.704999999999998</v>
      </c>
      <c r="K6">
        <v>2.8707382736473348</v>
      </c>
      <c r="L6">
        <v>-0.34240812379110402</v>
      </c>
      <c r="M6">
        <v>3.732700496589364E-2</v>
      </c>
      <c r="N6">
        <v>0</v>
      </c>
      <c r="O6" t="s">
        <v>33</v>
      </c>
      <c r="P6">
        <v>-3.8833333333333311</v>
      </c>
      <c r="Q6">
        <v>-0.1928807947019866</v>
      </c>
      <c r="R6">
        <v>5.0254400000000006</v>
      </c>
      <c r="S6">
        <v>0</v>
      </c>
      <c r="T6">
        <v>6.7877309663412548</v>
      </c>
      <c r="U6">
        <v>1.537009290085926</v>
      </c>
      <c r="V6">
        <v>0.65724000223744683</v>
      </c>
      <c r="W6">
        <v>4.2182040508082981</v>
      </c>
      <c r="X6">
        <v>5.5016666666666693E-2</v>
      </c>
      <c r="Y6">
        <v>5.5016666666666693E-2</v>
      </c>
      <c r="Z6">
        <v>3.954474381720428</v>
      </c>
      <c r="AA6">
        <v>0.49005017843064719</v>
      </c>
      <c r="AB6">
        <v>0</v>
      </c>
      <c r="AC6">
        <v>0</v>
      </c>
      <c r="AD6">
        <v>0</v>
      </c>
      <c r="AE6">
        <v>0</v>
      </c>
      <c r="AG6">
        <f>C6-C5</f>
        <v>0.73333333333333073</v>
      </c>
      <c r="AN6" s="2">
        <v>5.5833333333333393</v>
      </c>
    </row>
    <row r="7" spans="1:40" x14ac:dyDescent="0.35">
      <c r="A7" t="s">
        <v>31</v>
      </c>
      <c r="B7" t="s">
        <v>32</v>
      </c>
      <c r="C7">
        <v>5.7333333333333343</v>
      </c>
      <c r="D7">
        <v>5.7333333333333343</v>
      </c>
      <c r="E7">
        <v>0</v>
      </c>
      <c r="F7">
        <v>12.87142857142852</v>
      </c>
      <c r="G7">
        <v>0</v>
      </c>
      <c r="H7">
        <v>1.559670325063887</v>
      </c>
      <c r="I7">
        <v>0</v>
      </c>
      <c r="J7">
        <v>36.854999999999997</v>
      </c>
      <c r="K7">
        <v>4.228601641336093</v>
      </c>
      <c r="L7">
        <v>0</v>
      </c>
      <c r="M7">
        <v>7.0355993697460276E-2</v>
      </c>
      <c r="N7">
        <v>0</v>
      </c>
      <c r="O7" t="s">
        <v>33</v>
      </c>
      <c r="P7">
        <v>-2.2666666666666662</v>
      </c>
      <c r="Q7">
        <v>-0.11258278145695361</v>
      </c>
      <c r="R7">
        <v>6.1750000000000096</v>
      </c>
      <c r="S7">
        <v>0</v>
      </c>
      <c r="T7">
        <v>14.385613138147869</v>
      </c>
      <c r="U7">
        <v>1.6429413734192591</v>
      </c>
      <c r="V7">
        <v>0.40092056741646159</v>
      </c>
      <c r="W7">
        <v>5.1017394604289121</v>
      </c>
      <c r="X7">
        <v>7.6033333333333342E-2</v>
      </c>
      <c r="Y7">
        <v>7.6033333333333342E-2</v>
      </c>
      <c r="Z7">
        <v>6.7877309663412548</v>
      </c>
      <c r="AA7">
        <v>0.37363573860935589</v>
      </c>
      <c r="AB7">
        <v>0</v>
      </c>
      <c r="AC7">
        <v>0</v>
      </c>
      <c r="AD7">
        <v>0</v>
      </c>
      <c r="AE7">
        <v>0</v>
      </c>
      <c r="AG7">
        <f>C7-C6</f>
        <v>1.6166666666666654</v>
      </c>
      <c r="AN7" s="2">
        <v>5.5499999999999972</v>
      </c>
    </row>
    <row r="8" spans="1:40" x14ac:dyDescent="0.35">
      <c r="A8" t="s">
        <v>31</v>
      </c>
      <c r="B8" t="s">
        <v>32</v>
      </c>
      <c r="C8">
        <v>6.5333333333333332</v>
      </c>
      <c r="D8">
        <v>6.5333333333333332</v>
      </c>
      <c r="E8">
        <v>0</v>
      </c>
      <c r="F8">
        <v>16.071428571428541</v>
      </c>
      <c r="G8">
        <v>0</v>
      </c>
      <c r="H8">
        <v>1.6224339675375949</v>
      </c>
      <c r="I8">
        <v>0</v>
      </c>
      <c r="J8">
        <v>37.32</v>
      </c>
      <c r="K8">
        <v>4.1105032069167393</v>
      </c>
      <c r="L8">
        <v>0</v>
      </c>
      <c r="M8">
        <v>8.4517008647456454E-2</v>
      </c>
      <c r="N8">
        <v>0</v>
      </c>
      <c r="O8" t="s">
        <v>33</v>
      </c>
      <c r="P8">
        <v>-1.466666666666667</v>
      </c>
      <c r="Q8">
        <v>-7.2847682119205295E-2</v>
      </c>
      <c r="R8">
        <v>12.87142857142852</v>
      </c>
      <c r="S8">
        <v>0</v>
      </c>
      <c r="T8">
        <v>18.580212931358439</v>
      </c>
      <c r="U8">
        <v>1.707928040085926</v>
      </c>
      <c r="V8">
        <v>0.33944158788852652</v>
      </c>
      <c r="W8">
        <v>5.3666057623573984</v>
      </c>
      <c r="X8">
        <v>8.6433333333333334E-2</v>
      </c>
      <c r="Y8">
        <v>8.6433333333333334E-2</v>
      </c>
      <c r="Z8">
        <v>14.385613138147869</v>
      </c>
      <c r="AA8">
        <v>0.30785737030854959</v>
      </c>
      <c r="AB8">
        <v>0</v>
      </c>
      <c r="AC8">
        <v>0</v>
      </c>
      <c r="AD8">
        <v>0</v>
      </c>
      <c r="AE8">
        <v>0</v>
      </c>
      <c r="AG8">
        <f>C8-C7</f>
        <v>0.79999999999999893</v>
      </c>
      <c r="AN8" s="2">
        <v>4.3333333333333321</v>
      </c>
    </row>
    <row r="9" spans="1:40" x14ac:dyDescent="0.35">
      <c r="A9" t="s">
        <v>31</v>
      </c>
      <c r="B9" t="s">
        <v>32</v>
      </c>
      <c r="C9">
        <v>7.4000000000000039</v>
      </c>
      <c r="D9">
        <v>7.4000000000000039</v>
      </c>
      <c r="E9">
        <v>0</v>
      </c>
      <c r="F9">
        <v>19.55000000000009</v>
      </c>
      <c r="G9">
        <v>0</v>
      </c>
      <c r="H9">
        <v>1.713444133350408</v>
      </c>
      <c r="I9">
        <v>0</v>
      </c>
      <c r="J9">
        <v>37.11</v>
      </c>
      <c r="K9">
        <v>4.2908964607671738</v>
      </c>
      <c r="L9">
        <v>0</v>
      </c>
      <c r="M9">
        <v>6.6854332205578196E-2</v>
      </c>
      <c r="N9">
        <v>0</v>
      </c>
      <c r="O9" t="s">
        <v>33</v>
      </c>
      <c r="P9">
        <v>-0.59999999999999609</v>
      </c>
      <c r="Q9">
        <v>-2.980132450331106E-2</v>
      </c>
      <c r="R9">
        <v>16.071428571428541</v>
      </c>
      <c r="S9">
        <v>0</v>
      </c>
      <c r="T9">
        <v>23.313283939277479</v>
      </c>
      <c r="U9">
        <v>1.7877191511970369</v>
      </c>
      <c r="V9">
        <v>0.29214305622640258</v>
      </c>
      <c r="W9">
        <v>5.5367280775292063</v>
      </c>
      <c r="X9">
        <v>9.7700000000000051E-2</v>
      </c>
      <c r="Y9">
        <v>9.7700000000000051E-2</v>
      </c>
      <c r="Z9">
        <v>18.580212931358439</v>
      </c>
      <c r="AA9">
        <v>0.25850070994219471</v>
      </c>
      <c r="AB9">
        <v>0</v>
      </c>
      <c r="AC9">
        <v>0</v>
      </c>
      <c r="AD9">
        <v>0</v>
      </c>
      <c r="AE9">
        <v>0</v>
      </c>
      <c r="AG9">
        <f>C9-C8</f>
        <v>0.86666666666667069</v>
      </c>
      <c r="AN9" s="2">
        <v>4.3333333333333286</v>
      </c>
    </row>
    <row r="10" spans="1:40" x14ac:dyDescent="0.35">
      <c r="A10" t="s">
        <v>31</v>
      </c>
      <c r="B10" t="s">
        <v>32</v>
      </c>
      <c r="C10">
        <v>8.0000000000000018</v>
      </c>
      <c r="D10">
        <v>8.0000000000000018</v>
      </c>
      <c r="E10">
        <v>1</v>
      </c>
      <c r="F10">
        <v>23.07142857142841</v>
      </c>
      <c r="G10">
        <v>0</v>
      </c>
      <c r="H10">
        <v>1.739658568053063</v>
      </c>
      <c r="I10">
        <v>0</v>
      </c>
      <c r="J10">
        <v>36.93</v>
      </c>
      <c r="K10">
        <v>3.4298247985200119</v>
      </c>
      <c r="L10">
        <v>0</v>
      </c>
      <c r="M10">
        <v>3.3343138562748308E-2</v>
      </c>
      <c r="N10">
        <v>3.2522952787326372E-2</v>
      </c>
      <c r="O10" t="s">
        <v>33</v>
      </c>
      <c r="P10">
        <v>1.7763568394002501E-15</v>
      </c>
      <c r="Q10">
        <v>8.8229644341072025E-17</v>
      </c>
      <c r="R10">
        <v>19.55000000000009</v>
      </c>
      <c r="S10">
        <v>0</v>
      </c>
      <c r="T10">
        <v>26.65401311151907</v>
      </c>
      <c r="U10">
        <v>1.8486791511984211</v>
      </c>
      <c r="V10">
        <v>0.225235414492541</v>
      </c>
      <c r="W10">
        <v>5.9702665932502974</v>
      </c>
      <c r="X10">
        <v>2.3E-3</v>
      </c>
      <c r="Y10">
        <v>2.3E-3</v>
      </c>
      <c r="Z10">
        <v>23.313283939277479</v>
      </c>
      <c r="AA10">
        <v>0.16782762103817961</v>
      </c>
      <c r="AB10">
        <v>1.409663588305178E-3</v>
      </c>
      <c r="AC10">
        <v>3.2522952787326372E-2</v>
      </c>
      <c r="AD10">
        <v>1.220189719696316E-3</v>
      </c>
      <c r="AE10">
        <v>3.2522952787326372E-2</v>
      </c>
      <c r="AH10">
        <f t="shared" ref="AH10:AH18" si="0">D10-D9</f>
        <v>0.59999999999999787</v>
      </c>
      <c r="AN10">
        <v>3.0500000000000007</v>
      </c>
    </row>
    <row r="11" spans="1:40" x14ac:dyDescent="0.35">
      <c r="A11" t="s">
        <v>31</v>
      </c>
      <c r="B11" t="s">
        <v>32</v>
      </c>
      <c r="C11">
        <v>9.2833333333333332</v>
      </c>
      <c r="D11">
        <v>9.2833333333333332</v>
      </c>
      <c r="E11">
        <v>1</v>
      </c>
      <c r="F11">
        <v>23.982142857142801</v>
      </c>
      <c r="G11">
        <v>0</v>
      </c>
      <c r="H11">
        <v>1.729842917632336</v>
      </c>
      <c r="I11">
        <v>0.1310102834270957</v>
      </c>
      <c r="J11">
        <v>28.000000000000028</v>
      </c>
      <c r="K11">
        <v>0.80078473963120977</v>
      </c>
      <c r="L11">
        <v>0</v>
      </c>
      <c r="M11">
        <v>-1.19166388417766E-2</v>
      </c>
      <c r="N11">
        <v>0.1074192370750134</v>
      </c>
      <c r="O11" t="s">
        <v>33</v>
      </c>
      <c r="P11">
        <v>1.283333333333333</v>
      </c>
      <c r="Q11">
        <v>6.3741721854304614E-2</v>
      </c>
      <c r="R11">
        <v>23.07142857142841</v>
      </c>
      <c r="S11">
        <v>0</v>
      </c>
      <c r="T11">
        <v>26.814560037945309</v>
      </c>
      <c r="U11">
        <v>1.851713165092423</v>
      </c>
      <c r="V11">
        <v>6.0946528765194758E-3</v>
      </c>
      <c r="W11">
        <v>0.1282608693858629</v>
      </c>
      <c r="X11">
        <v>2.428333333333334E-3</v>
      </c>
      <c r="Y11">
        <v>2.428333333333334E-3</v>
      </c>
      <c r="Z11">
        <v>26.65401311151907</v>
      </c>
      <c r="AA11">
        <v>2.650201917316335E-2</v>
      </c>
      <c r="AB11">
        <v>4.4415016091947169E-3</v>
      </c>
      <c r="AC11">
        <v>0.1065167260919373</v>
      </c>
      <c r="AD11">
        <v>4.0124113009560964E-3</v>
      </c>
      <c r="AE11">
        <v>0.10759104372641751</v>
      </c>
      <c r="AH11">
        <f t="shared" si="0"/>
        <v>1.2833333333333314</v>
      </c>
      <c r="AN11">
        <v>3.0333333333333314</v>
      </c>
    </row>
    <row r="12" spans="1:40" x14ac:dyDescent="0.35">
      <c r="A12" t="s">
        <v>31</v>
      </c>
      <c r="B12" t="s">
        <v>32</v>
      </c>
      <c r="C12">
        <v>11.03333333333333</v>
      </c>
      <c r="D12">
        <v>11.03333333333333</v>
      </c>
      <c r="E12">
        <v>1</v>
      </c>
      <c r="F12">
        <v>24.71428571428569</v>
      </c>
      <c r="G12">
        <v>0</v>
      </c>
      <c r="H12">
        <v>1.700263548435635</v>
      </c>
      <c r="I12">
        <v>0.31504496725991421</v>
      </c>
      <c r="J12">
        <v>28.02</v>
      </c>
      <c r="K12">
        <v>0.30809581540695608</v>
      </c>
      <c r="L12">
        <v>0</v>
      </c>
      <c r="M12">
        <v>-2.1107679173064709E-2</v>
      </c>
      <c r="N12">
        <v>8.8656597770349913E-2</v>
      </c>
      <c r="O12" t="s">
        <v>33</v>
      </c>
      <c r="P12">
        <v>3.0333333333333332</v>
      </c>
      <c r="Q12">
        <v>0.1506622516556291</v>
      </c>
      <c r="R12">
        <v>23.982142857142801</v>
      </c>
      <c r="S12">
        <v>0.1310102834270957</v>
      </c>
      <c r="T12">
        <v>27.046565257229538</v>
      </c>
      <c r="U12">
        <v>1.8561158734257559</v>
      </c>
      <c r="V12">
        <v>6.4627347011341051E-3</v>
      </c>
      <c r="W12">
        <v>0.1368600617928715</v>
      </c>
      <c r="X12">
        <v>2.6033333333333329E-3</v>
      </c>
      <c r="Y12">
        <v>2.6033333333333329E-3</v>
      </c>
      <c r="Z12">
        <v>26.814560037945309</v>
      </c>
      <c r="AA12">
        <v>5.1947382220817601E-5</v>
      </c>
      <c r="AB12">
        <v>3.4290093577818651E-3</v>
      </c>
      <c r="AC12">
        <v>8.4745516985180291E-2</v>
      </c>
      <c r="AD12">
        <v>3.2942619402584559E-3</v>
      </c>
      <c r="AE12">
        <v>8.9098470541607938E-2</v>
      </c>
      <c r="AH12">
        <f t="shared" si="0"/>
        <v>1.7499999999999964</v>
      </c>
      <c r="AN12">
        <v>3.0333333333333314</v>
      </c>
    </row>
    <row r="13" spans="1:40" x14ac:dyDescent="0.35">
      <c r="A13" t="s">
        <v>31</v>
      </c>
      <c r="B13" t="s">
        <v>32</v>
      </c>
      <c r="C13">
        <v>13.15</v>
      </c>
      <c r="D13">
        <v>13.15</v>
      </c>
      <c r="E13">
        <v>1</v>
      </c>
      <c r="F13">
        <v>25.246428571428389</v>
      </c>
      <c r="G13">
        <v>0</v>
      </c>
      <c r="H13">
        <v>1.666462791612461</v>
      </c>
      <c r="I13">
        <v>0.46235372066752101</v>
      </c>
      <c r="J13">
        <v>27.99</v>
      </c>
      <c r="K13">
        <v>0.45180777738761663</v>
      </c>
      <c r="L13">
        <v>0</v>
      </c>
      <c r="M13">
        <v>-1.441147807969358E-2</v>
      </c>
      <c r="N13">
        <v>6.848658689964221E-2</v>
      </c>
      <c r="O13" t="s">
        <v>33</v>
      </c>
      <c r="P13">
        <v>5.15</v>
      </c>
      <c r="Q13">
        <v>0.25579470198675502</v>
      </c>
      <c r="R13">
        <v>24.71428571428569</v>
      </c>
      <c r="S13">
        <v>0.31504496725991421</v>
      </c>
      <c r="T13">
        <v>27.347100217242161</v>
      </c>
      <c r="U13">
        <v>1.861850276203534</v>
      </c>
      <c r="V13">
        <v>6.8900896962245228E-3</v>
      </c>
      <c r="W13">
        <v>0.1470768854829419</v>
      </c>
      <c r="X13">
        <v>2.8149999999999998E-3</v>
      </c>
      <c r="Y13">
        <v>2.8149999999999998E-3</v>
      </c>
      <c r="Z13">
        <v>27.046565257229538</v>
      </c>
      <c r="AA13">
        <v>9.2479638602559755E-3</v>
      </c>
      <c r="AB13">
        <v>2.5543485212313902E-3</v>
      </c>
      <c r="AC13">
        <v>6.4488177487802015E-2</v>
      </c>
      <c r="AD13">
        <v>2.5299075941389582E-3</v>
      </c>
      <c r="AE13">
        <v>6.9185636517280089E-2</v>
      </c>
      <c r="AH13">
        <f t="shared" si="0"/>
        <v>2.1166666666666707</v>
      </c>
      <c r="AN13">
        <v>3.0333333333333314</v>
      </c>
    </row>
    <row r="14" spans="1:40" x14ac:dyDescent="0.35">
      <c r="A14" t="s">
        <v>31</v>
      </c>
      <c r="B14" t="s">
        <v>32</v>
      </c>
      <c r="C14">
        <v>15.15</v>
      </c>
      <c r="D14">
        <v>15.15</v>
      </c>
      <c r="E14">
        <v>1</v>
      </c>
      <c r="F14">
        <v>26.812799999999999</v>
      </c>
      <c r="G14">
        <v>0</v>
      </c>
      <c r="H14">
        <v>1.631696672613181</v>
      </c>
      <c r="I14">
        <v>0.6209461221159972</v>
      </c>
      <c r="J14">
        <v>28.004273789649421</v>
      </c>
      <c r="K14">
        <v>0.47876398830285899</v>
      </c>
      <c r="L14">
        <v>0</v>
      </c>
      <c r="M14">
        <v>-1.756029077928551E-2</v>
      </c>
      <c r="N14">
        <v>0.1188040571785258</v>
      </c>
      <c r="O14" t="s">
        <v>33</v>
      </c>
      <c r="P14">
        <v>7.1500000000000021</v>
      </c>
      <c r="Q14">
        <v>0.35513245033112589</v>
      </c>
      <c r="R14">
        <v>25.246428571428389</v>
      </c>
      <c r="S14">
        <v>0.46235372066752101</v>
      </c>
      <c r="T14">
        <v>27.650753457848062</v>
      </c>
      <c r="U14">
        <v>1.8676802762035341</v>
      </c>
      <c r="V14">
        <v>7.2758135465255556E-3</v>
      </c>
      <c r="W14">
        <v>0.15654506004925531</v>
      </c>
      <c r="X14">
        <v>3.0149999999999999E-3</v>
      </c>
      <c r="Y14">
        <v>3.0149999999999999E-3</v>
      </c>
      <c r="Z14">
        <v>27.347100217242161</v>
      </c>
      <c r="AA14">
        <v>7.0938174358828304E-3</v>
      </c>
      <c r="AB14">
        <v>4.1816388432596727E-3</v>
      </c>
      <c r="AC14">
        <v>0.11212144597655301</v>
      </c>
      <c r="AD14">
        <v>4.3328458273749022E-3</v>
      </c>
      <c r="AE14">
        <v>0.1198064517436091</v>
      </c>
      <c r="AH14">
        <f t="shared" si="0"/>
        <v>2</v>
      </c>
      <c r="AN14">
        <v>3.0000000000000071</v>
      </c>
    </row>
    <row r="15" spans="1:40" x14ac:dyDescent="0.35">
      <c r="A15" t="s">
        <v>31</v>
      </c>
      <c r="B15" t="s">
        <v>32</v>
      </c>
      <c r="C15">
        <v>17.100000000000001</v>
      </c>
      <c r="D15">
        <v>17.100000000000001</v>
      </c>
      <c r="E15">
        <v>1</v>
      </c>
      <c r="F15">
        <v>27.314285714285671</v>
      </c>
      <c r="G15">
        <v>0</v>
      </c>
      <c r="H15">
        <v>1.596225793362172</v>
      </c>
      <c r="I15">
        <v>0.95232094494293462</v>
      </c>
      <c r="J15">
        <v>27.99</v>
      </c>
      <c r="K15">
        <v>0.36694484139961592</v>
      </c>
      <c r="L15">
        <v>0</v>
      </c>
      <c r="M15">
        <v>-3.3221191307876111E-2</v>
      </c>
      <c r="N15">
        <v>0.24167490708061509</v>
      </c>
      <c r="O15" t="s">
        <v>33</v>
      </c>
      <c r="P15">
        <v>9.100000000000005</v>
      </c>
      <c r="Q15">
        <v>0.45198675496688762</v>
      </c>
      <c r="R15">
        <v>26.812799999999999</v>
      </c>
      <c r="S15">
        <v>0.6209461221159972</v>
      </c>
      <c r="T15">
        <v>27.96486690504819</v>
      </c>
      <c r="U15">
        <v>1.873749651203535</v>
      </c>
      <c r="V15">
        <v>7.6345573961814914E-3</v>
      </c>
      <c r="W15">
        <v>0.16559158187662851</v>
      </c>
      <c r="X15">
        <v>3.210000000000001E-3</v>
      </c>
      <c r="Y15">
        <v>3.210000000000001E-3</v>
      </c>
      <c r="Z15">
        <v>27.650753457848062</v>
      </c>
      <c r="AA15">
        <v>0</v>
      </c>
      <c r="AB15">
        <v>8.1223021414259002E-3</v>
      </c>
      <c r="AC15">
        <v>0.22185488134866141</v>
      </c>
      <c r="AD15">
        <v>8.7004300542143122E-3</v>
      </c>
      <c r="AE15">
        <v>0.2433063684827845</v>
      </c>
      <c r="AH15">
        <f t="shared" si="0"/>
        <v>1.9500000000000011</v>
      </c>
      <c r="AN15">
        <v>3</v>
      </c>
    </row>
    <row r="16" spans="1:40" x14ac:dyDescent="0.35">
      <c r="A16" t="s">
        <v>31</v>
      </c>
      <c r="B16" t="s">
        <v>32</v>
      </c>
      <c r="C16">
        <v>18.149999999999999</v>
      </c>
      <c r="D16">
        <v>18.149999999999999</v>
      </c>
      <c r="E16">
        <v>1</v>
      </c>
      <c r="F16">
        <v>27.653571428571389</v>
      </c>
      <c r="G16">
        <v>0</v>
      </c>
      <c r="H16">
        <v>1.5495734837101409</v>
      </c>
      <c r="I16">
        <v>1.25504016023201</v>
      </c>
      <c r="J16">
        <v>27.99</v>
      </c>
      <c r="K16">
        <v>0.37050956268240393</v>
      </c>
      <c r="L16">
        <v>0</v>
      </c>
      <c r="M16">
        <v>-4.1019771384797447E-2</v>
      </c>
      <c r="N16">
        <v>0.35745423424220168</v>
      </c>
      <c r="O16" t="s">
        <v>33</v>
      </c>
      <c r="P16">
        <v>10.15</v>
      </c>
      <c r="Q16">
        <v>0.50413907284768211</v>
      </c>
      <c r="R16">
        <v>27.314285714285671</v>
      </c>
      <c r="S16">
        <v>0.95232094494293462</v>
      </c>
      <c r="T16">
        <v>28.141259393999249</v>
      </c>
      <c r="U16">
        <v>1.877175276203535</v>
      </c>
      <c r="V16">
        <v>7.8205729339800995E-3</v>
      </c>
      <c r="W16">
        <v>0.17038467972340529</v>
      </c>
      <c r="X16">
        <v>3.3149999999999998E-3</v>
      </c>
      <c r="Y16">
        <v>3.3149999999999998E-3</v>
      </c>
      <c r="Z16">
        <v>27.96486690504819</v>
      </c>
      <c r="AA16">
        <v>0</v>
      </c>
      <c r="AB16">
        <v>1.1724751271200829E-2</v>
      </c>
      <c r="AC16">
        <v>0.32423124676038539</v>
      </c>
      <c r="AD16">
        <v>1.278089828636535E-2</v>
      </c>
      <c r="AE16">
        <v>0.3596705739649278</v>
      </c>
      <c r="AH16">
        <f t="shared" si="0"/>
        <v>1.0499999999999972</v>
      </c>
      <c r="AN16">
        <v>2.9999999999999964</v>
      </c>
    </row>
    <row r="17" spans="1:40" x14ac:dyDescent="0.35">
      <c r="A17" t="s">
        <v>31</v>
      </c>
      <c r="B17" t="s">
        <v>32</v>
      </c>
      <c r="C17">
        <v>19.166666666666671</v>
      </c>
      <c r="D17">
        <v>19.166666666666671</v>
      </c>
      <c r="E17">
        <v>1</v>
      </c>
      <c r="F17">
        <v>28.03928571428575</v>
      </c>
      <c r="G17">
        <v>0</v>
      </c>
      <c r="H17">
        <v>1.50690932750899</v>
      </c>
      <c r="I17">
        <v>1.6958733726875199</v>
      </c>
      <c r="J17">
        <v>27.99</v>
      </c>
      <c r="K17">
        <v>0.35229326140786182</v>
      </c>
      <c r="L17">
        <v>0</v>
      </c>
      <c r="M17">
        <v>-4.5239607517244797E-2</v>
      </c>
      <c r="N17">
        <v>0.53562279342961938</v>
      </c>
      <c r="O17" t="s">
        <v>33</v>
      </c>
      <c r="P17">
        <v>11.16666666666667</v>
      </c>
      <c r="Q17">
        <v>0.55463576158940397</v>
      </c>
      <c r="R17">
        <v>27.653571428571389</v>
      </c>
      <c r="S17">
        <v>1.25504016023201</v>
      </c>
      <c r="T17">
        <v>28.316820068717881</v>
      </c>
      <c r="U17">
        <v>1.8805972067590899</v>
      </c>
      <c r="V17">
        <v>7.995870233005813E-3</v>
      </c>
      <c r="W17">
        <v>0.17497165519272431</v>
      </c>
      <c r="X17">
        <v>3.4166666666666668E-3</v>
      </c>
      <c r="Y17">
        <v>3.4166666666666668E-3</v>
      </c>
      <c r="Z17">
        <v>28.141259393999249</v>
      </c>
      <c r="AA17">
        <v>0</v>
      </c>
      <c r="AB17">
        <v>1.7286824481004669E-2</v>
      </c>
      <c r="AC17">
        <v>0.48471021071559939</v>
      </c>
      <c r="AD17">
        <v>1.9024164887051359E-2</v>
      </c>
      <c r="AE17">
        <v>0.53870385406425392</v>
      </c>
      <c r="AH17">
        <f t="shared" si="0"/>
        <v>1.0166666666666728</v>
      </c>
      <c r="AN17">
        <v>2.9333333333333265</v>
      </c>
    </row>
    <row r="18" spans="1:40" x14ac:dyDescent="0.35">
      <c r="A18" t="s">
        <v>31</v>
      </c>
      <c r="B18" t="s">
        <v>32</v>
      </c>
      <c r="C18">
        <v>20.13333333333334</v>
      </c>
      <c r="D18">
        <v>20.13333333333334</v>
      </c>
      <c r="E18">
        <v>1</v>
      </c>
      <c r="F18">
        <v>28.41785714285712</v>
      </c>
      <c r="G18">
        <v>0</v>
      </c>
      <c r="H18">
        <v>1.4623878789044451</v>
      </c>
      <c r="I18">
        <v>2.318807824747398</v>
      </c>
      <c r="J18">
        <v>27.99</v>
      </c>
      <c r="K18">
        <v>0.39758865671750238</v>
      </c>
      <c r="L18">
        <v>0</v>
      </c>
      <c r="M18">
        <v>-4.8051055639269258E-2</v>
      </c>
      <c r="N18">
        <v>0.74716195621941006</v>
      </c>
      <c r="O18" t="s">
        <v>33</v>
      </c>
      <c r="P18">
        <v>12.13333333333334</v>
      </c>
      <c r="Q18">
        <v>0.60264900662251664</v>
      </c>
      <c r="R18">
        <v>28.03928571428575</v>
      </c>
      <c r="S18">
        <v>1.6958733726875199</v>
      </c>
      <c r="T18">
        <v>28.488047068104379</v>
      </c>
      <c r="U18">
        <v>1.88394670675909</v>
      </c>
      <c r="V18">
        <v>8.1581457639959727E-3</v>
      </c>
      <c r="W18">
        <v>0.17928286946022859</v>
      </c>
      <c r="X18">
        <v>3.513333333333334E-3</v>
      </c>
      <c r="Y18">
        <v>3.513333333333334E-3</v>
      </c>
      <c r="Z18">
        <v>28.316820068717881</v>
      </c>
      <c r="AA18">
        <v>0</v>
      </c>
      <c r="AB18">
        <v>2.3610883134947809E-2</v>
      </c>
      <c r="AC18">
        <v>0.67097070394564129</v>
      </c>
      <c r="AD18">
        <v>2.6379002087460499E-2</v>
      </c>
      <c r="AE18">
        <v>0.75148625307719852</v>
      </c>
      <c r="AH18">
        <f t="shared" si="0"/>
        <v>0.96666666666666856</v>
      </c>
      <c r="AN18">
        <v>2.8666666666666671</v>
      </c>
    </row>
    <row r="19" spans="1:40" x14ac:dyDescent="0.35">
      <c r="A19" t="s">
        <v>34</v>
      </c>
      <c r="B19" t="s">
        <v>35</v>
      </c>
      <c r="C19">
        <v>0</v>
      </c>
      <c r="D19">
        <v>0</v>
      </c>
      <c r="E19">
        <v>0</v>
      </c>
      <c r="F19">
        <v>0.1675555555555282</v>
      </c>
      <c r="G19">
        <v>9.3000000000000007</v>
      </c>
      <c r="H19">
        <v>1.5433493368700271</v>
      </c>
      <c r="I19">
        <v>0</v>
      </c>
      <c r="J19">
        <v>36.989999999999988</v>
      </c>
      <c r="K19">
        <v>0.26850487115465321</v>
      </c>
      <c r="L19">
        <v>-1.292035282325432</v>
      </c>
      <c r="M19">
        <v>-2.618261354300877E-3</v>
      </c>
      <c r="N19">
        <v>0</v>
      </c>
      <c r="O19" t="s">
        <v>36</v>
      </c>
      <c r="P19">
        <v>-9.3000000000000007</v>
      </c>
      <c r="Q19">
        <v>-0.48020654044750433</v>
      </c>
      <c r="R19">
        <v>0.1675555555555282</v>
      </c>
      <c r="S19">
        <v>0</v>
      </c>
      <c r="T19">
        <v>0.1675555555555282</v>
      </c>
      <c r="U19">
        <v>1.5433493368700271</v>
      </c>
      <c r="V19">
        <v>0.86978842526714939</v>
      </c>
      <c r="W19">
        <v>0.14573788281140521</v>
      </c>
      <c r="X19">
        <v>0</v>
      </c>
      <c r="Y19">
        <v>0</v>
      </c>
      <c r="Z19">
        <v>0.1675555555555282</v>
      </c>
      <c r="AA19">
        <v>1.6007861727338319</v>
      </c>
      <c r="AB19">
        <v>0</v>
      </c>
      <c r="AC19">
        <v>0</v>
      </c>
      <c r="AD19">
        <v>0</v>
      </c>
      <c r="AE19">
        <v>0</v>
      </c>
      <c r="AN19">
        <v>2.7833333333333385</v>
      </c>
    </row>
    <row r="20" spans="1:40" x14ac:dyDescent="0.35">
      <c r="A20" t="s">
        <v>34</v>
      </c>
      <c r="B20" t="s">
        <v>35</v>
      </c>
      <c r="C20">
        <v>1.216666666666665</v>
      </c>
      <c r="D20">
        <v>1.216666666666665</v>
      </c>
      <c r="E20">
        <v>0</v>
      </c>
      <c r="F20">
        <v>0.42500000000008797</v>
      </c>
      <c r="G20">
        <v>7.9470000000000001</v>
      </c>
      <c r="H20">
        <v>1.5291477453580899</v>
      </c>
      <c r="I20">
        <v>0</v>
      </c>
      <c r="J20">
        <v>36.989999999999988</v>
      </c>
      <c r="K20">
        <v>0.16652846306403291</v>
      </c>
      <c r="L20">
        <v>-1.1105984741285331</v>
      </c>
      <c r="M20">
        <v>-2.2626268447402061E-2</v>
      </c>
      <c r="N20">
        <v>0</v>
      </c>
      <c r="O20" t="s">
        <v>36</v>
      </c>
      <c r="P20">
        <v>-8.0833333333333357</v>
      </c>
      <c r="Q20">
        <v>-0.41738382099827892</v>
      </c>
      <c r="R20">
        <v>0.1675555555555282</v>
      </c>
      <c r="S20">
        <v>0</v>
      </c>
      <c r="T20">
        <v>0.48277807868096428</v>
      </c>
      <c r="U20">
        <v>1.5433493368700271</v>
      </c>
      <c r="V20">
        <v>0.86978744899812088</v>
      </c>
      <c r="W20">
        <v>0.41991431348813002</v>
      </c>
      <c r="X20">
        <v>0</v>
      </c>
      <c r="Y20">
        <v>0</v>
      </c>
      <c r="Z20">
        <v>0.1675555555555282</v>
      </c>
      <c r="AA20">
        <v>0.37703502488029988</v>
      </c>
      <c r="AB20">
        <v>0</v>
      </c>
      <c r="AC20">
        <v>0</v>
      </c>
      <c r="AD20">
        <v>0</v>
      </c>
      <c r="AE20">
        <v>0</v>
      </c>
      <c r="AF20">
        <f>C20-C19</f>
        <v>1.216666666666665</v>
      </c>
      <c r="AN20">
        <v>2.7166666666666721</v>
      </c>
    </row>
    <row r="21" spans="1:40" x14ac:dyDescent="0.35">
      <c r="A21" t="s">
        <v>34</v>
      </c>
      <c r="B21" t="s">
        <v>35</v>
      </c>
      <c r="C21">
        <v>2.0500000000000012</v>
      </c>
      <c r="D21">
        <v>2.0500000000000012</v>
      </c>
      <c r="E21">
        <v>0</v>
      </c>
      <c r="F21">
        <v>0.52142857142849819</v>
      </c>
      <c r="G21">
        <v>7.2729999999999997</v>
      </c>
      <c r="H21">
        <v>1.506707427055703</v>
      </c>
      <c r="I21">
        <v>0</v>
      </c>
      <c r="J21">
        <v>37.005000000000003</v>
      </c>
      <c r="K21">
        <v>0.34211024223583081</v>
      </c>
      <c r="L21">
        <v>-1.6875918306629401</v>
      </c>
      <c r="M21">
        <v>-1.907449379311504E-2</v>
      </c>
      <c r="N21">
        <v>0</v>
      </c>
      <c r="O21" t="s">
        <v>36</v>
      </c>
      <c r="P21">
        <v>-7.25</v>
      </c>
      <c r="Q21">
        <v>-0.37435456110154902</v>
      </c>
      <c r="R21">
        <v>0.42500000000008797</v>
      </c>
      <c r="S21">
        <v>0</v>
      </c>
      <c r="T21">
        <v>0.99662967240568756</v>
      </c>
      <c r="U21">
        <v>1.5433493368700271</v>
      </c>
      <c r="V21">
        <v>0.86978544824033288</v>
      </c>
      <c r="W21">
        <v>0.86685398634299704</v>
      </c>
      <c r="X21">
        <v>0</v>
      </c>
      <c r="Y21">
        <v>0</v>
      </c>
      <c r="Z21">
        <v>0.48277807868096428</v>
      </c>
      <c r="AA21">
        <v>0.64344211466080559</v>
      </c>
      <c r="AB21">
        <v>0</v>
      </c>
      <c r="AC21">
        <v>0</v>
      </c>
      <c r="AD21">
        <v>0</v>
      </c>
      <c r="AE21">
        <v>0</v>
      </c>
      <c r="AF21">
        <f>C21-C20</f>
        <v>0.83333333333333615</v>
      </c>
      <c r="AN21">
        <v>2.6999999999999957</v>
      </c>
    </row>
    <row r="22" spans="1:40" x14ac:dyDescent="0.35">
      <c r="A22" t="s">
        <v>34</v>
      </c>
      <c r="B22" t="s">
        <v>35</v>
      </c>
      <c r="C22">
        <v>2.8333333333333299</v>
      </c>
      <c r="D22">
        <v>2.8333333333333299</v>
      </c>
      <c r="E22">
        <v>0</v>
      </c>
      <c r="F22">
        <v>1.003571428571421</v>
      </c>
      <c r="G22">
        <v>5.6609999999999996</v>
      </c>
      <c r="H22">
        <v>1.493489920424403</v>
      </c>
      <c r="I22">
        <v>0</v>
      </c>
      <c r="J22">
        <v>37.020000000000003</v>
      </c>
      <c r="K22">
        <v>0.80870936557811457</v>
      </c>
      <c r="L22">
        <v>-2.155682302396051</v>
      </c>
      <c r="M22">
        <v>-8.7734790161010344E-3</v>
      </c>
      <c r="N22">
        <v>0</v>
      </c>
      <c r="O22" t="s">
        <v>36</v>
      </c>
      <c r="P22">
        <v>-6.4666666666666703</v>
      </c>
      <c r="Q22">
        <v>-0.33390705679862331</v>
      </c>
      <c r="R22">
        <v>0.52142857142849819</v>
      </c>
      <c r="S22">
        <v>0</v>
      </c>
      <c r="T22">
        <v>1.9698433314658199</v>
      </c>
      <c r="U22">
        <v>1.5433493368700271</v>
      </c>
      <c r="V22">
        <v>0.869779154705413</v>
      </c>
      <c r="W22">
        <v>1.713328667744435</v>
      </c>
      <c r="X22">
        <v>0</v>
      </c>
      <c r="Y22">
        <v>0</v>
      </c>
      <c r="Z22">
        <v>0.99662967240568756</v>
      </c>
      <c r="AA22">
        <v>0.79995691473319874</v>
      </c>
      <c r="AB22">
        <v>0</v>
      </c>
      <c r="AC22">
        <v>0</v>
      </c>
      <c r="AD22">
        <v>0</v>
      </c>
      <c r="AE22">
        <v>0</v>
      </c>
      <c r="AF22">
        <f>C22-C21</f>
        <v>0.78333333333332877</v>
      </c>
      <c r="AN22">
        <v>2.6666666666666643</v>
      </c>
    </row>
    <row r="23" spans="1:40" x14ac:dyDescent="0.35">
      <c r="A23" t="s">
        <v>34</v>
      </c>
      <c r="B23" t="s">
        <v>35</v>
      </c>
      <c r="C23">
        <v>5.2999999999999989</v>
      </c>
      <c r="D23">
        <v>5.2999999999999989</v>
      </c>
      <c r="E23">
        <v>0</v>
      </c>
      <c r="F23">
        <v>5.9571428571428671</v>
      </c>
      <c r="G23">
        <v>0.29499999999999998</v>
      </c>
      <c r="H23">
        <v>1.5150104037724701</v>
      </c>
      <c r="I23">
        <v>0</v>
      </c>
      <c r="J23">
        <v>36.989999999999988</v>
      </c>
      <c r="K23">
        <v>3.107330512486417</v>
      </c>
      <c r="L23">
        <v>-1.1575381295456739</v>
      </c>
      <c r="M23">
        <v>3.0345264188537339E-2</v>
      </c>
      <c r="N23">
        <v>0</v>
      </c>
      <c r="O23" t="s">
        <v>36</v>
      </c>
      <c r="P23">
        <v>-4.0000000000000018</v>
      </c>
      <c r="Q23">
        <v>-0.206540447504303</v>
      </c>
      <c r="R23">
        <v>1.003571428571421</v>
      </c>
      <c r="S23">
        <v>0</v>
      </c>
      <c r="T23">
        <v>6.3965377848083467</v>
      </c>
      <c r="U23">
        <v>1.571874336874451</v>
      </c>
      <c r="V23">
        <v>0.86430844594957423</v>
      </c>
      <c r="W23">
        <v>5.2852333247133343</v>
      </c>
      <c r="X23">
        <v>5.9799999999999992E-2</v>
      </c>
      <c r="Y23">
        <v>5.9799999999999992E-2</v>
      </c>
      <c r="Z23">
        <v>1.9698433314658199</v>
      </c>
      <c r="AA23">
        <v>0.54164397451435975</v>
      </c>
      <c r="AB23">
        <v>0</v>
      </c>
      <c r="AC23">
        <v>0</v>
      </c>
      <c r="AD23">
        <v>0</v>
      </c>
      <c r="AE23">
        <v>0</v>
      </c>
      <c r="AF23">
        <f>C23-C22</f>
        <v>2.466666666666669</v>
      </c>
      <c r="AN23">
        <v>2.6666666666666607</v>
      </c>
    </row>
    <row r="24" spans="1:40" x14ac:dyDescent="0.35">
      <c r="A24" t="s">
        <v>34</v>
      </c>
      <c r="B24" t="s">
        <v>35</v>
      </c>
      <c r="C24">
        <v>6.9999999999999982</v>
      </c>
      <c r="D24">
        <v>6.9999999999999982</v>
      </c>
      <c r="E24">
        <v>0</v>
      </c>
      <c r="F24">
        <v>12.12857142857143</v>
      </c>
      <c r="G24">
        <v>0</v>
      </c>
      <c r="H24">
        <v>1.577269098143222</v>
      </c>
      <c r="I24">
        <v>0</v>
      </c>
      <c r="J24">
        <v>37.034999999999997</v>
      </c>
      <c r="K24">
        <v>5.096346088184613</v>
      </c>
      <c r="L24">
        <v>-5.2296535052377378E-2</v>
      </c>
      <c r="M24">
        <v>4.9942533307501848E-2</v>
      </c>
      <c r="N24">
        <v>0</v>
      </c>
      <c r="O24" t="s">
        <v>36</v>
      </c>
      <c r="P24">
        <v>-2.300000000000002</v>
      </c>
      <c r="Q24">
        <v>-0.11876075731497431</v>
      </c>
      <c r="R24">
        <v>5.9571428571428671</v>
      </c>
      <c r="S24">
        <v>0</v>
      </c>
      <c r="T24">
        <v>14.631006877943809</v>
      </c>
      <c r="U24">
        <v>1.6894293368744511</v>
      </c>
      <c r="V24">
        <v>0.39578585436762759</v>
      </c>
      <c r="W24">
        <v>5.110910056279625</v>
      </c>
      <c r="X24">
        <v>7.8499999999999973E-2</v>
      </c>
      <c r="Y24">
        <v>7.8499999999999973E-2</v>
      </c>
      <c r="Z24">
        <v>6.3965377848083467</v>
      </c>
      <c r="AA24">
        <v>0.45185736165800949</v>
      </c>
      <c r="AB24">
        <v>0</v>
      </c>
      <c r="AC24">
        <v>0</v>
      </c>
      <c r="AD24">
        <v>0</v>
      </c>
      <c r="AE24">
        <v>0</v>
      </c>
      <c r="AG24">
        <f>C24-C23</f>
        <v>1.6999999999999993</v>
      </c>
      <c r="AN24">
        <v>2.5833333333333428</v>
      </c>
    </row>
    <row r="25" spans="1:40" x14ac:dyDescent="0.35">
      <c r="A25" t="s">
        <v>34</v>
      </c>
      <c r="B25" t="s">
        <v>35</v>
      </c>
      <c r="C25">
        <v>7.7333333333333361</v>
      </c>
      <c r="D25">
        <v>7.7333333333333361</v>
      </c>
      <c r="E25">
        <v>0</v>
      </c>
      <c r="F25">
        <v>16.207142857142848</v>
      </c>
      <c r="G25">
        <v>0</v>
      </c>
      <c r="H25">
        <v>1.615775976242408</v>
      </c>
      <c r="I25">
        <v>0</v>
      </c>
      <c r="J25">
        <v>37.034999999999997</v>
      </c>
      <c r="K25">
        <v>5.802154403721036</v>
      </c>
      <c r="L25">
        <v>0</v>
      </c>
      <c r="M25">
        <v>6.0002920383224689E-2</v>
      </c>
      <c r="N25">
        <v>0</v>
      </c>
      <c r="O25" t="s">
        <v>36</v>
      </c>
      <c r="P25">
        <v>-1.5666666666666651</v>
      </c>
      <c r="Q25">
        <v>-8.0895008605851873E-2</v>
      </c>
      <c r="R25">
        <v>12.12857142857143</v>
      </c>
      <c r="S25">
        <v>0</v>
      </c>
      <c r="T25">
        <v>18.435285746058771</v>
      </c>
      <c r="U25">
        <v>1.7499537813188959</v>
      </c>
      <c r="V25">
        <v>0.33440930596427448</v>
      </c>
      <c r="W25">
        <v>5.2529748913082823</v>
      </c>
      <c r="X25">
        <v>8.6566666666666695E-2</v>
      </c>
      <c r="Y25">
        <v>8.6566666666666695E-2</v>
      </c>
      <c r="Z25">
        <v>14.631006877943809</v>
      </c>
      <c r="AA25">
        <v>0.3951354990954673</v>
      </c>
      <c r="AB25">
        <v>0</v>
      </c>
      <c r="AC25">
        <v>0</v>
      </c>
      <c r="AD25">
        <v>0</v>
      </c>
      <c r="AE25">
        <v>0</v>
      </c>
      <c r="AG25">
        <f>C25-C24</f>
        <v>0.73333333333333783</v>
      </c>
      <c r="AN25">
        <v>2.5</v>
      </c>
    </row>
    <row r="26" spans="1:40" x14ac:dyDescent="0.35">
      <c r="A26" t="s">
        <v>34</v>
      </c>
      <c r="B26" t="s">
        <v>35</v>
      </c>
      <c r="C26">
        <v>8.6166666666666689</v>
      </c>
      <c r="D26">
        <v>8.6166666666666689</v>
      </c>
      <c r="E26">
        <v>0</v>
      </c>
      <c r="F26">
        <v>21.774999999999991</v>
      </c>
      <c r="G26">
        <v>0</v>
      </c>
      <c r="H26">
        <v>1.7005964633068</v>
      </c>
      <c r="I26">
        <v>0</v>
      </c>
      <c r="J26">
        <v>37.055000000000042</v>
      </c>
      <c r="K26">
        <v>6.5567028233555789</v>
      </c>
      <c r="L26">
        <v>0</v>
      </c>
      <c r="M26">
        <v>4.714962437286848E-2</v>
      </c>
      <c r="N26">
        <v>0</v>
      </c>
      <c r="O26" t="s">
        <v>36</v>
      </c>
      <c r="P26">
        <v>-0.68333333333333179</v>
      </c>
      <c r="Q26">
        <v>-3.5283993115318338E-2</v>
      </c>
      <c r="R26">
        <v>16.207142857142848</v>
      </c>
      <c r="S26">
        <v>0</v>
      </c>
      <c r="T26">
        <v>23.11964730857996</v>
      </c>
      <c r="U26">
        <v>1.8307125313188961</v>
      </c>
      <c r="V26">
        <v>0.28350030463708731</v>
      </c>
      <c r="W26">
        <v>5.338486993343877</v>
      </c>
      <c r="X26">
        <v>9.628333333333336E-2</v>
      </c>
      <c r="Y26">
        <v>9.628333333333336E-2</v>
      </c>
      <c r="Z26">
        <v>18.435285746058771</v>
      </c>
      <c r="AA26">
        <v>0.3288368413306143</v>
      </c>
      <c r="AB26">
        <v>0</v>
      </c>
      <c r="AC26">
        <v>0</v>
      </c>
      <c r="AD26">
        <v>0</v>
      </c>
      <c r="AE26">
        <v>0</v>
      </c>
      <c r="AG26">
        <f>C26-C25</f>
        <v>0.88333333333333286</v>
      </c>
      <c r="AN26">
        <v>2.5</v>
      </c>
    </row>
    <row r="27" spans="1:40" x14ac:dyDescent="0.35">
      <c r="A27" t="s">
        <v>34</v>
      </c>
      <c r="B27" t="s">
        <v>35</v>
      </c>
      <c r="C27">
        <v>9.2166666666666668</v>
      </c>
      <c r="D27">
        <v>9.2166666666666668</v>
      </c>
      <c r="E27">
        <v>0</v>
      </c>
      <c r="F27">
        <v>26.357142857142811</v>
      </c>
      <c r="G27">
        <v>0</v>
      </c>
      <c r="H27">
        <v>1.7230663093132861</v>
      </c>
      <c r="I27">
        <v>0</v>
      </c>
      <c r="J27">
        <v>36.989999999999988</v>
      </c>
      <c r="K27">
        <v>4.730786125930873</v>
      </c>
      <c r="L27">
        <v>0</v>
      </c>
      <c r="M27">
        <v>2.1868525433782642E-2</v>
      </c>
      <c r="N27">
        <v>4.8695635151492882E-2</v>
      </c>
      <c r="O27" t="s">
        <v>36</v>
      </c>
      <c r="P27">
        <v>-8.3333333333333925E-2</v>
      </c>
      <c r="Q27">
        <v>-4.3029259896730076E-3</v>
      </c>
      <c r="R27">
        <v>21.774999999999991</v>
      </c>
      <c r="S27">
        <v>0</v>
      </c>
      <c r="T27">
        <v>26.3278144559028</v>
      </c>
      <c r="U27">
        <v>1.8904625313188961</v>
      </c>
      <c r="V27">
        <v>0.25761183095480411</v>
      </c>
      <c r="W27">
        <v>5.3495360709980631</v>
      </c>
      <c r="X27">
        <v>0.1028833333333333</v>
      </c>
      <c r="Y27">
        <v>0.1028833333333333</v>
      </c>
      <c r="Z27">
        <v>23.11964730857996</v>
      </c>
      <c r="AA27">
        <v>0.19217945361285729</v>
      </c>
      <c r="AB27">
        <v>0</v>
      </c>
      <c r="AC27">
        <v>0</v>
      </c>
      <c r="AD27">
        <v>0</v>
      </c>
      <c r="AE27">
        <v>0</v>
      </c>
      <c r="AG27">
        <f>C27-C26</f>
        <v>0.59999999999999787</v>
      </c>
      <c r="AN27">
        <v>2.5</v>
      </c>
    </row>
    <row r="28" spans="1:40" x14ac:dyDescent="0.35">
      <c r="A28" t="s">
        <v>34</v>
      </c>
      <c r="B28" t="s">
        <v>35</v>
      </c>
      <c r="C28">
        <v>10.5</v>
      </c>
      <c r="D28">
        <v>10.5</v>
      </c>
      <c r="E28">
        <v>1</v>
      </c>
      <c r="F28">
        <v>26.92857142857148</v>
      </c>
      <c r="G28">
        <v>0</v>
      </c>
      <c r="H28">
        <v>1.713607147067487</v>
      </c>
      <c r="I28">
        <v>0.19615774141349049</v>
      </c>
      <c r="J28">
        <v>30</v>
      </c>
      <c r="K28">
        <v>0</v>
      </c>
      <c r="L28">
        <v>0</v>
      </c>
      <c r="M28">
        <v>-7.6956517356985034E-3</v>
      </c>
      <c r="N28">
        <v>0.1628765599496467</v>
      </c>
      <c r="O28" t="s">
        <v>36</v>
      </c>
      <c r="P28">
        <v>1.199999999999998</v>
      </c>
      <c r="Q28">
        <v>6.1962134251290747E-2</v>
      </c>
      <c r="R28">
        <v>26.357142857142811</v>
      </c>
      <c r="S28">
        <v>0</v>
      </c>
      <c r="T28">
        <v>27.231452961139091</v>
      </c>
      <c r="U28">
        <v>1.908002336876444</v>
      </c>
      <c r="V28">
        <v>1.870882202496487E-2</v>
      </c>
      <c r="W28">
        <v>0.39814499343648813</v>
      </c>
      <c r="X28">
        <v>7.7999999999999979E-3</v>
      </c>
      <c r="Y28">
        <v>7.7999999999999979E-3</v>
      </c>
      <c r="Z28">
        <v>26.3278144559028</v>
      </c>
      <c r="AA28">
        <v>0</v>
      </c>
      <c r="AB28">
        <v>6.0157529724383808E-3</v>
      </c>
      <c r="AC28">
        <v>0.16199563361494809</v>
      </c>
      <c r="AD28">
        <v>6.0106400461827844E-3</v>
      </c>
      <c r="AE28">
        <v>0.16367846168396541</v>
      </c>
      <c r="AH28">
        <f>D28-D27</f>
        <v>1.2833333333333332</v>
      </c>
      <c r="AN28">
        <v>2.1166666666666707</v>
      </c>
    </row>
    <row r="29" spans="1:40" x14ac:dyDescent="0.35">
      <c r="A29" t="s">
        <v>34</v>
      </c>
      <c r="B29" t="s">
        <v>35</v>
      </c>
      <c r="C29">
        <v>12.25</v>
      </c>
      <c r="D29">
        <v>12.25</v>
      </c>
      <c r="E29">
        <v>1</v>
      </c>
      <c r="F29">
        <v>25.417857142857208</v>
      </c>
      <c r="G29">
        <v>0</v>
      </c>
      <c r="H29">
        <v>1.6722705349248359</v>
      </c>
      <c r="I29">
        <v>0.46486768663342543</v>
      </c>
      <c r="J29">
        <v>30.009999999999991</v>
      </c>
      <c r="K29">
        <v>0</v>
      </c>
      <c r="L29">
        <v>0</v>
      </c>
      <c r="M29">
        <v>-2.166668975048431E-2</v>
      </c>
      <c r="N29">
        <v>9.8220184077709591E-2</v>
      </c>
      <c r="O29" t="s">
        <v>36</v>
      </c>
      <c r="P29">
        <v>2.949999999999998</v>
      </c>
      <c r="Q29">
        <v>0.15232358003442331</v>
      </c>
      <c r="R29">
        <v>26.92857142857148</v>
      </c>
      <c r="S29">
        <v>0.19615774141349049</v>
      </c>
      <c r="T29">
        <v>27.969472279004069</v>
      </c>
      <c r="U29">
        <v>1.9225710868764441</v>
      </c>
      <c r="V29">
        <v>2.0510679123784108E-2</v>
      </c>
      <c r="W29">
        <v>0.44492349417849952</v>
      </c>
      <c r="X29">
        <v>8.8499999999999985E-3</v>
      </c>
      <c r="Y29">
        <v>8.8499999999999985E-3</v>
      </c>
      <c r="Z29">
        <v>27.231452961139091</v>
      </c>
      <c r="AA29">
        <v>0</v>
      </c>
      <c r="AB29">
        <v>3.6272589216114798E-3</v>
      </c>
      <c r="AC29">
        <v>9.2197149089674899E-2</v>
      </c>
      <c r="AD29">
        <v>3.588200271870521E-3</v>
      </c>
      <c r="AE29">
        <v>0.1003600680355974</v>
      </c>
      <c r="AH29">
        <f t="shared" ref="AH29:AH33" si="1">D29-D28</f>
        <v>1.75</v>
      </c>
      <c r="AN29">
        <v>2.1166666666666707</v>
      </c>
    </row>
    <row r="30" spans="1:40" x14ac:dyDescent="0.35">
      <c r="A30" t="s">
        <v>34</v>
      </c>
      <c r="B30" t="s">
        <v>35</v>
      </c>
      <c r="C30">
        <v>14.366666666666671</v>
      </c>
      <c r="D30">
        <v>14.366666666666671</v>
      </c>
      <c r="E30">
        <v>1</v>
      </c>
      <c r="F30">
        <v>27.317857142857211</v>
      </c>
      <c r="G30">
        <v>0</v>
      </c>
      <c r="H30">
        <v>1.620310654288228</v>
      </c>
      <c r="I30">
        <v>0.52732755824172606</v>
      </c>
      <c r="J30">
        <v>30</v>
      </c>
      <c r="K30">
        <v>0.5324424002795215</v>
      </c>
      <c r="L30">
        <v>0</v>
      </c>
      <c r="M30">
        <v>-2.141371141155371E-2</v>
      </c>
      <c r="N30">
        <v>2.3659281151337179E-3</v>
      </c>
      <c r="O30" t="s">
        <v>36</v>
      </c>
      <c r="P30">
        <v>5.0666666666666647</v>
      </c>
      <c r="Q30">
        <v>0.26161790017211689</v>
      </c>
      <c r="R30">
        <v>25.417857142857208</v>
      </c>
      <c r="S30">
        <v>0.46486768663342543</v>
      </c>
      <c r="T30">
        <v>28.96836793893106</v>
      </c>
      <c r="U30">
        <v>1.942647670209777</v>
      </c>
      <c r="V30">
        <v>2.2411221550433999E-2</v>
      </c>
      <c r="W30">
        <v>0.49830912495278962</v>
      </c>
      <c r="X30">
        <v>1.0120000000000001E-2</v>
      </c>
      <c r="Y30">
        <v>1.0120000000000001E-2</v>
      </c>
      <c r="Z30">
        <v>27.969472279004069</v>
      </c>
      <c r="AA30">
        <v>6.2748295595445938E-3</v>
      </c>
      <c r="AB30">
        <v>0</v>
      </c>
      <c r="AC30">
        <v>0</v>
      </c>
      <c r="AD30">
        <v>1.76502193613248E-4</v>
      </c>
      <c r="AE30">
        <v>5.1129804866170137E-3</v>
      </c>
      <c r="AH30">
        <f t="shared" si="1"/>
        <v>2.1166666666666707</v>
      </c>
      <c r="AN30">
        <v>2</v>
      </c>
    </row>
    <row r="31" spans="1:40" x14ac:dyDescent="0.35">
      <c r="A31" t="s">
        <v>34</v>
      </c>
      <c r="B31" t="s">
        <v>35</v>
      </c>
      <c r="C31">
        <v>16.366666666666671</v>
      </c>
      <c r="D31">
        <v>16.366666666666671</v>
      </c>
      <c r="E31">
        <v>1</v>
      </c>
      <c r="F31">
        <v>27.735714285714309</v>
      </c>
      <c r="G31">
        <v>0</v>
      </c>
      <c r="H31">
        <v>1.5918091069849469</v>
      </c>
      <c r="I31">
        <v>0.56691204692186936</v>
      </c>
      <c r="J31">
        <v>30</v>
      </c>
      <c r="K31">
        <v>1.0173390455646689</v>
      </c>
      <c r="L31">
        <v>0</v>
      </c>
      <c r="M31">
        <v>-1.630147195353833E-2</v>
      </c>
      <c r="N31">
        <v>0.17184457451881141</v>
      </c>
      <c r="O31" t="s">
        <v>36</v>
      </c>
      <c r="P31">
        <v>7.0666666666666664</v>
      </c>
      <c r="Q31">
        <v>0.3648881239242685</v>
      </c>
      <c r="R31">
        <v>27.317857142857211</v>
      </c>
      <c r="S31">
        <v>0.52732755824172606</v>
      </c>
      <c r="T31">
        <v>30.0125510328083</v>
      </c>
      <c r="U31">
        <v>1.964087670209778</v>
      </c>
      <c r="V31">
        <v>2.393237056755607E-2</v>
      </c>
      <c r="W31">
        <v>0.54529444983918895</v>
      </c>
      <c r="X31">
        <v>1.132E-2</v>
      </c>
      <c r="Y31">
        <v>1.132E-2</v>
      </c>
      <c r="Z31">
        <v>28.96836793893106</v>
      </c>
      <c r="AA31">
        <v>2.6438903243356071E-2</v>
      </c>
      <c r="AB31">
        <v>5.9864661796888994E-3</v>
      </c>
      <c r="AC31">
        <v>0.16603891554094299</v>
      </c>
      <c r="AD31">
        <v>5.83462453234216E-3</v>
      </c>
      <c r="AE31">
        <v>0.17511196653419439</v>
      </c>
      <c r="AH31">
        <f t="shared" si="1"/>
        <v>2</v>
      </c>
      <c r="AN31">
        <v>2</v>
      </c>
    </row>
    <row r="32" spans="1:40" x14ac:dyDescent="0.35">
      <c r="A32" t="s">
        <v>34</v>
      </c>
      <c r="B32" t="s">
        <v>35</v>
      </c>
      <c r="C32">
        <v>18.3</v>
      </c>
      <c r="D32">
        <v>18.3</v>
      </c>
      <c r="E32">
        <v>1</v>
      </c>
      <c r="F32">
        <v>30.678571428571349</v>
      </c>
      <c r="G32">
        <v>0</v>
      </c>
      <c r="H32">
        <v>1.570748099027377</v>
      </c>
      <c r="I32">
        <v>1.3143631062332759</v>
      </c>
      <c r="J32">
        <v>30.015000000000001</v>
      </c>
      <c r="K32">
        <v>0.64723900722696814</v>
      </c>
      <c r="L32">
        <v>0</v>
      </c>
      <c r="M32">
        <v>-2.5986333142776669E-2</v>
      </c>
      <c r="N32">
        <v>0.7158181253542073</v>
      </c>
      <c r="O32" t="s">
        <v>36</v>
      </c>
      <c r="P32">
        <v>8.9999999999999964</v>
      </c>
      <c r="Q32">
        <v>0.4647160068846814</v>
      </c>
      <c r="R32">
        <v>27.735714285714309</v>
      </c>
      <c r="S32">
        <v>0.56691204692186936</v>
      </c>
      <c r="T32">
        <v>31.107972245506939</v>
      </c>
      <c r="U32">
        <v>1.987094336876444</v>
      </c>
      <c r="V32">
        <v>2.5161043331886221E-2</v>
      </c>
      <c r="W32">
        <v>0.58733457230811559</v>
      </c>
      <c r="X32">
        <v>1.248E-2</v>
      </c>
      <c r="Y32">
        <v>1.248E-2</v>
      </c>
      <c r="Z32">
        <v>30.0125510328083</v>
      </c>
      <c r="AA32">
        <v>4.5535083709244903E-3</v>
      </c>
      <c r="AB32">
        <v>2.2624045810120449E-2</v>
      </c>
      <c r="AC32">
        <v>0.69407340538905049</v>
      </c>
      <c r="AD32">
        <v>2.3276123974206739E-2</v>
      </c>
      <c r="AE32">
        <v>0.72407301857260176</v>
      </c>
      <c r="AH32">
        <f t="shared" si="1"/>
        <v>1.93333333333333</v>
      </c>
      <c r="AN32">
        <v>2</v>
      </c>
    </row>
    <row r="33" spans="1:40" x14ac:dyDescent="0.35">
      <c r="A33" t="s">
        <v>34</v>
      </c>
      <c r="B33" t="s">
        <v>35</v>
      </c>
      <c r="C33">
        <v>19.366666666666671</v>
      </c>
      <c r="D33">
        <v>19.366666666666671</v>
      </c>
      <c r="E33">
        <v>1</v>
      </c>
      <c r="F33">
        <v>30.678571428571349</v>
      </c>
      <c r="G33">
        <v>0</v>
      </c>
      <c r="H33">
        <v>1.5236820070733481</v>
      </c>
      <c r="I33">
        <v>2.3022954153441768</v>
      </c>
      <c r="J33">
        <v>30</v>
      </c>
      <c r="K33">
        <v>0</v>
      </c>
      <c r="L33">
        <v>0</v>
      </c>
      <c r="M33">
        <v>-5.5939869705128098E-2</v>
      </c>
      <c r="N33">
        <v>1.1180350457136909</v>
      </c>
      <c r="O33" t="s">
        <v>36</v>
      </c>
      <c r="P33">
        <v>10.06666666666667</v>
      </c>
      <c r="Q33">
        <v>0.51979345955249567</v>
      </c>
      <c r="R33">
        <v>30.678571428571349</v>
      </c>
      <c r="S33">
        <v>1.3143631062332759</v>
      </c>
      <c r="T33">
        <v>31.746139765551082</v>
      </c>
      <c r="U33">
        <v>2.000747670209778</v>
      </c>
      <c r="V33">
        <v>2.5742693434200169E-2</v>
      </c>
      <c r="W33">
        <v>0.60905429065753158</v>
      </c>
      <c r="X33">
        <v>1.312E-2</v>
      </c>
      <c r="Y33">
        <v>1.312E-2</v>
      </c>
      <c r="Z33">
        <v>31.107972245506939</v>
      </c>
      <c r="AA33">
        <v>0</v>
      </c>
      <c r="AB33">
        <v>3.3688317854240667E-2</v>
      </c>
      <c r="AC33">
        <v>1.0335094655997381</v>
      </c>
      <c r="AD33">
        <v>3.56935510289857E-2</v>
      </c>
      <c r="AE33">
        <v>1.133132459695009</v>
      </c>
      <c r="AH33">
        <f t="shared" si="1"/>
        <v>1.06666666666667</v>
      </c>
      <c r="AN33">
        <v>2</v>
      </c>
    </row>
    <row r="34" spans="1:40" x14ac:dyDescent="0.35">
      <c r="A34" t="s">
        <v>37</v>
      </c>
      <c r="B34" t="s">
        <v>38</v>
      </c>
      <c r="C34">
        <v>0</v>
      </c>
      <c r="D34">
        <v>0</v>
      </c>
      <c r="E34">
        <v>0</v>
      </c>
      <c r="F34">
        <v>0.10356321839079401</v>
      </c>
      <c r="G34">
        <v>10</v>
      </c>
      <c r="H34">
        <v>1.6358999999999999</v>
      </c>
      <c r="I34">
        <v>0</v>
      </c>
      <c r="J34">
        <v>37.020000000000003</v>
      </c>
      <c r="K34">
        <v>1.6510340336756409E-2</v>
      </c>
      <c r="L34">
        <v>-1.021000970109919</v>
      </c>
      <c r="M34">
        <v>-3.0107017637667099E-2</v>
      </c>
      <c r="N34">
        <v>0</v>
      </c>
      <c r="O34" t="s">
        <v>39</v>
      </c>
      <c r="P34">
        <v>-9.1</v>
      </c>
      <c r="Q34">
        <v>-0.609375</v>
      </c>
      <c r="R34">
        <v>0.10356321839079401</v>
      </c>
      <c r="S34">
        <v>0</v>
      </c>
      <c r="T34">
        <v>0.10356321839079401</v>
      </c>
      <c r="U34">
        <v>1.6358999999999999</v>
      </c>
      <c r="V34">
        <v>0.86978923548842157</v>
      </c>
      <c r="W34">
        <v>9.0078172548849131E-2</v>
      </c>
      <c r="X34">
        <v>0</v>
      </c>
      <c r="Y34">
        <v>0</v>
      </c>
      <c r="Z34">
        <v>0.10356321839079401</v>
      </c>
      <c r="AA34">
        <v>0.14101887266928481</v>
      </c>
      <c r="AB34">
        <v>0</v>
      </c>
      <c r="AC34">
        <v>0</v>
      </c>
      <c r="AD34">
        <v>0</v>
      </c>
      <c r="AE34">
        <v>0</v>
      </c>
      <c r="AN34">
        <v>1.9500000000000011</v>
      </c>
    </row>
    <row r="35" spans="1:40" x14ac:dyDescent="0.35">
      <c r="A35" t="s">
        <v>37</v>
      </c>
      <c r="B35" t="s">
        <v>38</v>
      </c>
      <c r="C35">
        <v>0.68333333333333357</v>
      </c>
      <c r="D35">
        <v>0.68333333333333357</v>
      </c>
      <c r="E35">
        <v>0</v>
      </c>
      <c r="F35">
        <v>0.1748717948718132</v>
      </c>
      <c r="G35">
        <v>9.42</v>
      </c>
      <c r="H35">
        <v>1.6129</v>
      </c>
      <c r="I35">
        <v>0</v>
      </c>
      <c r="J35">
        <v>36.989999999999988</v>
      </c>
      <c r="K35">
        <v>7.3986823842186092E-2</v>
      </c>
      <c r="L35">
        <v>-0.46628135410610411</v>
      </c>
      <c r="M35">
        <v>-4.9600434224512838E-2</v>
      </c>
      <c r="N35">
        <v>0</v>
      </c>
      <c r="O35" t="s">
        <v>39</v>
      </c>
      <c r="P35">
        <v>-8.4166666666666661</v>
      </c>
      <c r="Q35">
        <v>-0.5636160714285714</v>
      </c>
      <c r="R35">
        <v>0.10356321839079401</v>
      </c>
      <c r="S35">
        <v>0</v>
      </c>
      <c r="T35">
        <v>0.187642422286357</v>
      </c>
      <c r="U35">
        <v>1.6358999999999999</v>
      </c>
      <c r="V35">
        <v>0.86978902370021149</v>
      </c>
      <c r="W35">
        <v>0.16320931928519319</v>
      </c>
      <c r="X35">
        <v>0</v>
      </c>
      <c r="Y35">
        <v>0</v>
      </c>
      <c r="Z35">
        <v>0.10356321839079401</v>
      </c>
      <c r="AA35">
        <v>0.3923394771712953</v>
      </c>
      <c r="AB35">
        <v>0</v>
      </c>
      <c r="AC35">
        <v>0</v>
      </c>
      <c r="AD35">
        <v>0</v>
      </c>
      <c r="AE35">
        <v>0</v>
      </c>
      <c r="AF35">
        <f t="shared" ref="AF35:AF41" si="2">C35-C34</f>
        <v>0.68333333333333357</v>
      </c>
      <c r="AN35">
        <v>1.93333333333333</v>
      </c>
    </row>
    <row r="36" spans="1:40" x14ac:dyDescent="0.35">
      <c r="A36" t="s">
        <v>37</v>
      </c>
      <c r="B36" t="s">
        <v>38</v>
      </c>
      <c r="C36">
        <v>1.7166666666666659</v>
      </c>
      <c r="D36">
        <v>1.7166666666666659</v>
      </c>
      <c r="E36">
        <v>0</v>
      </c>
      <c r="F36">
        <v>0.51074074074074782</v>
      </c>
      <c r="G36">
        <v>8.99</v>
      </c>
      <c r="H36">
        <v>1.5689</v>
      </c>
      <c r="I36">
        <v>0</v>
      </c>
      <c r="J36">
        <v>37.034999999999997</v>
      </c>
      <c r="K36">
        <v>0.51185446489920039</v>
      </c>
      <c r="L36">
        <v>-2.1687533968976438</v>
      </c>
      <c r="M36">
        <v>-2.448115870313133E-2</v>
      </c>
      <c r="N36">
        <v>0</v>
      </c>
      <c r="O36" t="s">
        <v>39</v>
      </c>
      <c r="P36">
        <v>-7.3833333333333337</v>
      </c>
      <c r="Q36">
        <v>-0.49441964285714302</v>
      </c>
      <c r="R36">
        <v>0.1748717948718132</v>
      </c>
      <c r="S36">
        <v>0</v>
      </c>
      <c r="T36">
        <v>0.46096393969091293</v>
      </c>
      <c r="U36">
        <v>1.6358999999999999</v>
      </c>
      <c r="V36">
        <v>0.86978827371420886</v>
      </c>
      <c r="W36">
        <v>0.40094102934825981</v>
      </c>
      <c r="X36">
        <v>0</v>
      </c>
      <c r="Y36">
        <v>0</v>
      </c>
      <c r="Z36">
        <v>0.187642422286357</v>
      </c>
      <c r="AA36">
        <v>0.98657657820297551</v>
      </c>
      <c r="AB36">
        <v>0</v>
      </c>
      <c r="AC36">
        <v>0</v>
      </c>
      <c r="AD36">
        <v>0</v>
      </c>
      <c r="AE36">
        <v>0</v>
      </c>
      <c r="AF36">
        <f t="shared" si="2"/>
        <v>1.0333333333333323</v>
      </c>
      <c r="AN36">
        <v>1.75</v>
      </c>
    </row>
    <row r="37" spans="1:40" x14ac:dyDescent="0.35">
      <c r="A37" t="s">
        <v>37</v>
      </c>
      <c r="B37" t="s">
        <v>38</v>
      </c>
      <c r="C37">
        <v>2.1499999999999981</v>
      </c>
      <c r="D37">
        <v>2.1499999999999981</v>
      </c>
      <c r="E37">
        <v>0</v>
      </c>
      <c r="F37">
        <v>0.76433333333329279</v>
      </c>
      <c r="G37">
        <v>7.53</v>
      </c>
      <c r="H37">
        <v>1.5689</v>
      </c>
      <c r="I37">
        <v>0</v>
      </c>
      <c r="J37">
        <v>36.989999999999988</v>
      </c>
      <c r="K37">
        <v>0.66972287620793647</v>
      </c>
      <c r="L37">
        <v>-1.719643597736759</v>
      </c>
      <c r="M37">
        <v>-2.560587358057112E-2</v>
      </c>
      <c r="N37">
        <v>0</v>
      </c>
      <c r="O37" t="s">
        <v>39</v>
      </c>
      <c r="P37">
        <v>-6.950000000000002</v>
      </c>
      <c r="Q37">
        <v>-0.46540178571428592</v>
      </c>
      <c r="R37">
        <v>0.51074074074074782</v>
      </c>
      <c r="S37">
        <v>0</v>
      </c>
      <c r="T37">
        <v>0.671979567618744</v>
      </c>
      <c r="U37">
        <v>1.6358999999999999</v>
      </c>
      <c r="V37">
        <v>0.86978762068182125</v>
      </c>
      <c r="W37">
        <v>0.58447950926590642</v>
      </c>
      <c r="X37">
        <v>0</v>
      </c>
      <c r="Y37">
        <v>0</v>
      </c>
      <c r="Z37">
        <v>0.46096393969091293</v>
      </c>
      <c r="AA37">
        <v>0.85989742044922401</v>
      </c>
      <c r="AB37">
        <v>0</v>
      </c>
      <c r="AC37">
        <v>0</v>
      </c>
      <c r="AD37">
        <v>0</v>
      </c>
      <c r="AE37">
        <v>0</v>
      </c>
      <c r="AF37">
        <f t="shared" si="2"/>
        <v>0.43333333333333224</v>
      </c>
      <c r="AN37">
        <v>1.7499999999999964</v>
      </c>
    </row>
    <row r="38" spans="1:40" x14ac:dyDescent="0.35">
      <c r="A38" t="s">
        <v>37</v>
      </c>
      <c r="B38" t="s">
        <v>38</v>
      </c>
      <c r="C38">
        <v>2.6666666666666652</v>
      </c>
      <c r="D38">
        <v>2.6666666666666652</v>
      </c>
      <c r="E38">
        <v>0</v>
      </c>
      <c r="F38">
        <v>1.0215000000000529</v>
      </c>
      <c r="G38">
        <v>7.5766666666666671</v>
      </c>
      <c r="H38">
        <v>1.540999006548371</v>
      </c>
      <c r="I38">
        <v>0</v>
      </c>
      <c r="J38">
        <v>36.989999999999988</v>
      </c>
      <c r="K38">
        <v>0.87978300144448496</v>
      </c>
      <c r="L38">
        <v>-0.78039652729835873</v>
      </c>
      <c r="M38">
        <v>-2.3755007473281561E-2</v>
      </c>
      <c r="N38">
        <v>0</v>
      </c>
      <c r="O38" t="s">
        <v>39</v>
      </c>
      <c r="P38">
        <v>-6.4333333333333336</v>
      </c>
      <c r="Q38">
        <v>-0.43080357142857162</v>
      </c>
      <c r="R38">
        <v>0.76433333333329279</v>
      </c>
      <c r="S38">
        <v>0</v>
      </c>
      <c r="T38">
        <v>1.0532310323790579</v>
      </c>
      <c r="U38">
        <v>1.6358999999999999</v>
      </c>
      <c r="V38">
        <v>0.86978623576664815</v>
      </c>
      <c r="W38">
        <v>0.9160858550456018</v>
      </c>
      <c r="X38">
        <v>0</v>
      </c>
      <c r="Y38">
        <v>0</v>
      </c>
      <c r="Z38">
        <v>0.671979567618744</v>
      </c>
      <c r="AA38">
        <v>0.84585045750515786</v>
      </c>
      <c r="AB38">
        <v>0</v>
      </c>
      <c r="AC38">
        <v>0</v>
      </c>
      <c r="AD38">
        <v>0</v>
      </c>
      <c r="AE38">
        <v>0</v>
      </c>
      <c r="AF38">
        <f t="shared" si="2"/>
        <v>0.51666666666666705</v>
      </c>
      <c r="AN38">
        <v>1.6666666666666714</v>
      </c>
    </row>
    <row r="39" spans="1:40" x14ac:dyDescent="0.35">
      <c r="A39" t="s">
        <v>37</v>
      </c>
      <c r="B39" t="s">
        <v>38</v>
      </c>
      <c r="C39">
        <v>3.1666666666666661</v>
      </c>
      <c r="D39">
        <v>3.1666666666666661</v>
      </c>
      <c r="E39">
        <v>0</v>
      </c>
      <c r="F39">
        <v>1.369999999999916</v>
      </c>
      <c r="G39">
        <v>6.69</v>
      </c>
      <c r="H39">
        <v>1.5357488063660469</v>
      </c>
      <c r="I39">
        <v>0</v>
      </c>
      <c r="J39">
        <v>37.023769478135058</v>
      </c>
      <c r="K39">
        <v>1.478971269429781</v>
      </c>
      <c r="L39">
        <v>-2.619492427524031</v>
      </c>
      <c r="M39">
        <v>-1.0586986122961019E-2</v>
      </c>
      <c r="N39">
        <v>0</v>
      </c>
      <c r="O39" t="s">
        <v>39</v>
      </c>
      <c r="P39">
        <v>-5.9333333333333336</v>
      </c>
      <c r="Q39">
        <v>-0.3973214285714286</v>
      </c>
      <c r="R39">
        <v>1.0215000000000529</v>
      </c>
      <c r="S39">
        <v>0</v>
      </c>
      <c r="T39">
        <v>1.627028145219213</v>
      </c>
      <c r="U39">
        <v>1.6358999999999999</v>
      </c>
      <c r="V39">
        <v>0.86978344902376403</v>
      </c>
      <c r="W39">
        <v>1.415162151807505</v>
      </c>
      <c r="X39">
        <v>0</v>
      </c>
      <c r="Y39">
        <v>0</v>
      </c>
      <c r="Z39">
        <v>1.0532310323790579</v>
      </c>
      <c r="AA39">
        <v>1.0726473761080411</v>
      </c>
      <c r="AB39">
        <v>0</v>
      </c>
      <c r="AC39">
        <v>0</v>
      </c>
      <c r="AD39">
        <v>0</v>
      </c>
      <c r="AE39">
        <v>0</v>
      </c>
      <c r="AF39">
        <f t="shared" si="2"/>
        <v>0.50000000000000089</v>
      </c>
      <c r="AN39">
        <v>1.6666666666666679</v>
      </c>
    </row>
    <row r="40" spans="1:40" x14ac:dyDescent="0.35">
      <c r="A40" t="s">
        <v>37</v>
      </c>
      <c r="B40" t="s">
        <v>38</v>
      </c>
      <c r="C40">
        <v>3.6666666666666652</v>
      </c>
      <c r="D40">
        <v>3.6666666666666652</v>
      </c>
      <c r="E40">
        <v>0</v>
      </c>
      <c r="F40">
        <v>2.4290000000000589</v>
      </c>
      <c r="G40">
        <v>4.76</v>
      </c>
      <c r="H40">
        <v>1.525579647712423</v>
      </c>
      <c r="I40">
        <v>0</v>
      </c>
      <c r="J40">
        <v>37.020000000000003</v>
      </c>
      <c r="K40">
        <v>2.129507944774645</v>
      </c>
      <c r="L40">
        <v>-4.6669031140578383</v>
      </c>
      <c r="M40">
        <v>-6.9252300496483524E-3</v>
      </c>
      <c r="N40">
        <v>0</v>
      </c>
      <c r="O40" t="s">
        <v>39</v>
      </c>
      <c r="P40">
        <v>-5.4333333333333336</v>
      </c>
      <c r="Q40">
        <v>-0.36383928571428581</v>
      </c>
      <c r="R40">
        <v>1.369999999999916</v>
      </c>
      <c r="S40">
        <v>0</v>
      </c>
      <c r="T40">
        <v>2.5134224126490028</v>
      </c>
      <c r="U40">
        <v>1.6358999999999999</v>
      </c>
      <c r="V40">
        <v>0.86977591668812704</v>
      </c>
      <c r="W40">
        <v>2.1861142829862699</v>
      </c>
      <c r="X40">
        <v>0</v>
      </c>
      <c r="Y40">
        <v>0</v>
      </c>
      <c r="Z40">
        <v>1.627028145219213</v>
      </c>
      <c r="AA40">
        <v>0.87216209148108048</v>
      </c>
      <c r="AB40">
        <v>0</v>
      </c>
      <c r="AC40">
        <v>0</v>
      </c>
      <c r="AD40">
        <v>0</v>
      </c>
      <c r="AE40">
        <v>0</v>
      </c>
      <c r="AF40">
        <f t="shared" si="2"/>
        <v>0.49999999999999911</v>
      </c>
      <c r="AN40">
        <v>1.6666666666666679</v>
      </c>
    </row>
    <row r="41" spans="1:40" x14ac:dyDescent="0.35">
      <c r="A41" t="s">
        <v>37</v>
      </c>
      <c r="B41" t="s">
        <v>38</v>
      </c>
      <c r="C41">
        <v>4.166666666666667</v>
      </c>
      <c r="D41">
        <v>4.166666666666667</v>
      </c>
      <c r="E41">
        <v>0</v>
      </c>
      <c r="F41">
        <v>3.6540000000000461</v>
      </c>
      <c r="G41">
        <v>2.2799999999999998</v>
      </c>
      <c r="H41">
        <v>1.51852924983444</v>
      </c>
      <c r="I41">
        <v>0</v>
      </c>
      <c r="J41">
        <v>37.020000000000003</v>
      </c>
      <c r="K41">
        <v>2.8485072810696348</v>
      </c>
      <c r="L41">
        <v>-5.0586232821924408</v>
      </c>
      <c r="M41">
        <v>1.2351619564670399E-3</v>
      </c>
      <c r="N41">
        <v>0</v>
      </c>
      <c r="O41" t="s">
        <v>39</v>
      </c>
      <c r="P41">
        <v>-4.9333333333333327</v>
      </c>
      <c r="Q41">
        <v>-0.33035714285714279</v>
      </c>
      <c r="R41">
        <v>2.4290000000000589</v>
      </c>
      <c r="S41">
        <v>0</v>
      </c>
      <c r="T41">
        <v>3.8826790789455359</v>
      </c>
      <c r="U41">
        <v>1.6358999999999999</v>
      </c>
      <c r="V41">
        <v>0.86971890758523374</v>
      </c>
      <c r="W41">
        <v>3.376839407044554</v>
      </c>
      <c r="X41">
        <v>0</v>
      </c>
      <c r="Y41">
        <v>0</v>
      </c>
      <c r="Z41">
        <v>2.5134224126490028</v>
      </c>
      <c r="AA41">
        <v>0.7803720364651523</v>
      </c>
      <c r="AB41">
        <v>0</v>
      </c>
      <c r="AC41">
        <v>0</v>
      </c>
      <c r="AD41">
        <v>0</v>
      </c>
      <c r="AE41">
        <v>0</v>
      </c>
      <c r="AF41">
        <f t="shared" si="2"/>
        <v>0.50000000000000178</v>
      </c>
      <c r="AN41">
        <v>1.6666666666666607</v>
      </c>
    </row>
    <row r="42" spans="1:40" x14ac:dyDescent="0.35">
      <c r="A42" t="s">
        <v>37</v>
      </c>
      <c r="B42" t="s">
        <v>38</v>
      </c>
      <c r="C42">
        <v>4.6499999999999977</v>
      </c>
      <c r="D42">
        <v>4.6499999999999977</v>
      </c>
      <c r="E42">
        <v>0</v>
      </c>
      <c r="F42">
        <v>5.6107142857142467</v>
      </c>
      <c r="G42">
        <v>1.2999999999999999E-2</v>
      </c>
      <c r="H42">
        <v>1.516291183138408</v>
      </c>
      <c r="I42">
        <v>0</v>
      </c>
      <c r="J42">
        <v>36.977499999999999</v>
      </c>
      <c r="K42">
        <v>3.2481180688597551</v>
      </c>
      <c r="L42">
        <v>-2.812614886091263</v>
      </c>
      <c r="M42">
        <v>1.073248390764178E-2</v>
      </c>
      <c r="N42">
        <v>0</v>
      </c>
      <c r="O42" t="s">
        <v>39</v>
      </c>
      <c r="P42">
        <v>-4.450000000000002</v>
      </c>
      <c r="Q42">
        <v>-0.29799107142857162</v>
      </c>
      <c r="R42">
        <v>3.6540000000000461</v>
      </c>
      <c r="S42">
        <v>0</v>
      </c>
      <c r="T42">
        <v>4.8826141696380274</v>
      </c>
      <c r="U42">
        <v>1.641660000001911</v>
      </c>
      <c r="V42">
        <v>0.45711042679963071</v>
      </c>
      <c r="W42">
        <v>2.144452564019288</v>
      </c>
      <c r="X42">
        <v>2.9399999999999989E-2</v>
      </c>
      <c r="Y42">
        <v>2.9399999999999989E-2</v>
      </c>
      <c r="Z42">
        <v>3.8826790789455359</v>
      </c>
      <c r="AA42">
        <v>0.58599158402617424</v>
      </c>
      <c r="AB42">
        <v>0</v>
      </c>
      <c r="AC42">
        <v>0</v>
      </c>
      <c r="AD42">
        <v>0</v>
      </c>
      <c r="AE42">
        <v>0</v>
      </c>
      <c r="AG42">
        <f>C42-C41</f>
        <v>0.48333333333333073</v>
      </c>
      <c r="AN42">
        <v>1.6500000000000021</v>
      </c>
    </row>
    <row r="43" spans="1:40" x14ac:dyDescent="0.35">
      <c r="A43" t="s">
        <v>37</v>
      </c>
      <c r="B43" t="s">
        <v>38</v>
      </c>
      <c r="C43">
        <v>5.549999999999998</v>
      </c>
      <c r="D43">
        <v>5.549999999999998</v>
      </c>
      <c r="E43">
        <v>0</v>
      </c>
      <c r="F43">
        <v>8.0607142857142779</v>
      </c>
      <c r="G43">
        <v>1.2E-2</v>
      </c>
      <c r="H43">
        <v>1.529983082743531</v>
      </c>
      <c r="I43">
        <v>0</v>
      </c>
      <c r="J43">
        <v>37.034999999999997</v>
      </c>
      <c r="K43">
        <v>3.7958252892067992</v>
      </c>
      <c r="L43">
        <v>0</v>
      </c>
      <c r="M43">
        <v>3.1994192847584139E-2</v>
      </c>
      <c r="N43">
        <v>0</v>
      </c>
      <c r="O43" t="s">
        <v>39</v>
      </c>
      <c r="P43">
        <v>-3.550000000000002</v>
      </c>
      <c r="Q43">
        <v>-0.23772321428571441</v>
      </c>
      <c r="R43">
        <v>5.6107142857142467</v>
      </c>
      <c r="S43">
        <v>0</v>
      </c>
      <c r="T43">
        <v>6.9534132410351539</v>
      </c>
      <c r="U43">
        <v>1.6705500000019109</v>
      </c>
      <c r="V43">
        <v>0.37335966769608231</v>
      </c>
      <c r="W43">
        <v>2.451274288514409</v>
      </c>
      <c r="X43">
        <v>3.4799999999999991E-2</v>
      </c>
      <c r="Y43">
        <v>3.4799999999999991E-2</v>
      </c>
      <c r="Z43">
        <v>4.8826141696380274</v>
      </c>
      <c r="AA43">
        <v>0.49181580199294572</v>
      </c>
      <c r="AB43">
        <v>0</v>
      </c>
      <c r="AC43">
        <v>0</v>
      </c>
      <c r="AD43">
        <v>0</v>
      </c>
      <c r="AE43">
        <v>0</v>
      </c>
      <c r="AG43">
        <f t="shared" ref="AG43:AG48" si="3">C43-C42</f>
        <v>0.90000000000000036</v>
      </c>
      <c r="AN43">
        <v>1.5833333333333321</v>
      </c>
    </row>
    <row r="44" spans="1:40" x14ac:dyDescent="0.35">
      <c r="A44" t="s">
        <v>37</v>
      </c>
      <c r="B44" t="s">
        <v>38</v>
      </c>
      <c r="C44">
        <v>6.4999999999999991</v>
      </c>
      <c r="D44">
        <v>6.4999999999999991</v>
      </c>
      <c r="E44">
        <v>0</v>
      </c>
      <c r="F44">
        <v>12.567857142857161</v>
      </c>
      <c r="G44">
        <v>0.35899999999999999</v>
      </c>
      <c r="H44">
        <v>1.57891623885195</v>
      </c>
      <c r="I44">
        <v>0</v>
      </c>
      <c r="J44">
        <v>37.185000000000002</v>
      </c>
      <c r="K44">
        <v>4.9927614607129112</v>
      </c>
      <c r="L44">
        <v>-0.1173402292769075</v>
      </c>
      <c r="M44">
        <v>4.2166576706313928E-2</v>
      </c>
      <c r="N44">
        <v>0</v>
      </c>
      <c r="O44" t="s">
        <v>39</v>
      </c>
      <c r="P44">
        <v>-2.600000000000001</v>
      </c>
      <c r="Q44">
        <v>-0.1741071428571429</v>
      </c>
      <c r="R44">
        <v>8.0607142857142779</v>
      </c>
      <c r="S44">
        <v>0</v>
      </c>
      <c r="T44">
        <v>9.4200212201302396</v>
      </c>
      <c r="U44">
        <v>1.7063175000019111</v>
      </c>
      <c r="V44">
        <v>0.31401311025814099</v>
      </c>
      <c r="W44">
        <v>2.734422899159223</v>
      </c>
      <c r="X44">
        <v>4.0499999999999987E-2</v>
      </c>
      <c r="Y44">
        <v>4.0499999999999987E-2</v>
      </c>
      <c r="Z44">
        <v>6.9534132410351539</v>
      </c>
      <c r="AA44">
        <v>0.42397036411712241</v>
      </c>
      <c r="AB44">
        <v>0</v>
      </c>
      <c r="AC44">
        <v>0</v>
      </c>
      <c r="AD44">
        <v>0</v>
      </c>
      <c r="AE44">
        <v>0</v>
      </c>
      <c r="AG44">
        <f t="shared" si="3"/>
        <v>0.95000000000000107</v>
      </c>
      <c r="AN44">
        <v>1.5666666666666593</v>
      </c>
    </row>
    <row r="45" spans="1:40" x14ac:dyDescent="0.35">
      <c r="A45" t="s">
        <v>37</v>
      </c>
      <c r="B45" t="s">
        <v>38</v>
      </c>
      <c r="C45">
        <v>7.0000000000000018</v>
      </c>
      <c r="D45">
        <v>7.0000000000000018</v>
      </c>
      <c r="E45">
        <v>0</v>
      </c>
      <c r="F45">
        <v>15.0964285714285</v>
      </c>
      <c r="G45">
        <v>0.13900000000000001</v>
      </c>
      <c r="H45">
        <v>1.598319110636035</v>
      </c>
      <c r="I45">
        <v>0</v>
      </c>
      <c r="J45">
        <v>37.005000000000003</v>
      </c>
      <c r="K45">
        <v>5.5803172472180034</v>
      </c>
      <c r="L45">
        <v>-0.30847304412258741</v>
      </c>
      <c r="M45">
        <v>4.8705159456301612E-2</v>
      </c>
      <c r="N45">
        <v>0</v>
      </c>
      <c r="O45" t="s">
        <v>39</v>
      </c>
      <c r="P45">
        <v>-2.0999999999999979</v>
      </c>
      <c r="Q45">
        <v>-0.14062499999999989</v>
      </c>
      <c r="R45">
        <v>12.567857142857161</v>
      </c>
      <c r="S45">
        <v>0</v>
      </c>
      <c r="T45">
        <v>10.82063195952434</v>
      </c>
      <c r="U45">
        <v>1.727317500001911</v>
      </c>
      <c r="V45">
        <v>0.29004717854008227</v>
      </c>
      <c r="W45">
        <v>2.8659917601234728</v>
      </c>
      <c r="X45">
        <v>4.3500000000000011E-2</v>
      </c>
      <c r="Y45">
        <v>4.3500000000000011E-2</v>
      </c>
      <c r="Z45">
        <v>9.4200212201302396</v>
      </c>
      <c r="AA45">
        <v>0.40011759939310182</v>
      </c>
      <c r="AB45">
        <v>0</v>
      </c>
      <c r="AC45">
        <v>0</v>
      </c>
      <c r="AD45">
        <v>0</v>
      </c>
      <c r="AE45">
        <v>0</v>
      </c>
      <c r="AG45">
        <f t="shared" si="3"/>
        <v>0.50000000000000266</v>
      </c>
      <c r="AN45">
        <v>1.5500000000000007</v>
      </c>
    </row>
    <row r="46" spans="1:40" x14ac:dyDescent="0.35">
      <c r="A46" t="s">
        <v>37</v>
      </c>
      <c r="B46" t="s">
        <v>38</v>
      </c>
      <c r="C46">
        <v>7.7166666666666668</v>
      </c>
      <c r="D46">
        <v>7.7166666666666668</v>
      </c>
      <c r="E46">
        <v>0</v>
      </c>
      <c r="F46">
        <v>19.028571428571421</v>
      </c>
      <c r="G46">
        <v>0</v>
      </c>
      <c r="H46">
        <v>1.6508897236472539</v>
      </c>
      <c r="I46">
        <v>0</v>
      </c>
      <c r="J46">
        <v>36.884999999999998</v>
      </c>
      <c r="K46">
        <v>7.9375788773834604</v>
      </c>
      <c r="L46">
        <v>-9.0990525409130357E-2</v>
      </c>
      <c r="M46">
        <v>6.4518373402712326E-2</v>
      </c>
      <c r="N46">
        <v>0</v>
      </c>
      <c r="O46" t="s">
        <v>39</v>
      </c>
      <c r="P46">
        <v>-1.3833333333333331</v>
      </c>
      <c r="Q46">
        <v>-9.2633928571428548E-2</v>
      </c>
      <c r="R46">
        <v>15.0964285714285</v>
      </c>
      <c r="S46">
        <v>0</v>
      </c>
      <c r="T46">
        <v>12.93604311520127</v>
      </c>
      <c r="U46">
        <v>1.760033333335244</v>
      </c>
      <c r="V46">
        <v>0.26164321464791479</v>
      </c>
      <c r="W46">
        <v>3.0333033883894269</v>
      </c>
      <c r="X46">
        <v>4.7800000000000002E-2</v>
      </c>
      <c r="Y46">
        <v>4.7800000000000002E-2</v>
      </c>
      <c r="Z46">
        <v>10.82063195952434</v>
      </c>
      <c r="AA46">
        <v>0.45622100208685401</v>
      </c>
      <c r="AB46">
        <v>0</v>
      </c>
      <c r="AC46">
        <v>0</v>
      </c>
      <c r="AD46">
        <v>0</v>
      </c>
      <c r="AE46">
        <v>0</v>
      </c>
      <c r="AG46">
        <f t="shared" si="3"/>
        <v>0.71666666666666501</v>
      </c>
      <c r="AN46">
        <v>1.5166666666666657</v>
      </c>
    </row>
    <row r="47" spans="1:40" x14ac:dyDescent="0.35">
      <c r="A47" t="s">
        <v>37</v>
      </c>
      <c r="B47" t="s">
        <v>38</v>
      </c>
      <c r="C47">
        <v>8.35</v>
      </c>
      <c r="D47">
        <v>8.35</v>
      </c>
      <c r="E47">
        <v>0</v>
      </c>
      <c r="F47">
        <v>25.253571428571369</v>
      </c>
      <c r="G47">
        <v>0</v>
      </c>
      <c r="H47">
        <v>1.7107140622103501</v>
      </c>
      <c r="I47">
        <v>0</v>
      </c>
      <c r="J47">
        <v>37.064999999999998</v>
      </c>
      <c r="K47">
        <v>7.7825050370569748</v>
      </c>
      <c r="L47">
        <v>0</v>
      </c>
      <c r="M47">
        <v>5.4778351851701067E-2</v>
      </c>
      <c r="N47">
        <v>0</v>
      </c>
      <c r="O47" t="s">
        <v>39</v>
      </c>
      <c r="P47">
        <v>-0.75</v>
      </c>
      <c r="Q47">
        <v>-5.0223214285714288E-2</v>
      </c>
      <c r="R47">
        <v>19.028571428571421</v>
      </c>
      <c r="S47">
        <v>0</v>
      </c>
      <c r="T47">
        <v>14.89840120883817</v>
      </c>
      <c r="U47">
        <v>1.7915100000019111</v>
      </c>
      <c r="V47">
        <v>0.24093205631704709</v>
      </c>
      <c r="W47">
        <v>3.1603909619617752</v>
      </c>
      <c r="X47">
        <v>5.16E-2</v>
      </c>
      <c r="Y47">
        <v>5.16E-2</v>
      </c>
      <c r="Z47">
        <v>12.93604311520127</v>
      </c>
      <c r="AA47">
        <v>0.34019518489728368</v>
      </c>
      <c r="AB47">
        <v>0</v>
      </c>
      <c r="AC47">
        <v>0</v>
      </c>
      <c r="AD47">
        <v>0</v>
      </c>
      <c r="AE47">
        <v>0</v>
      </c>
      <c r="AG47">
        <f t="shared" si="3"/>
        <v>0.63333333333333286</v>
      </c>
      <c r="AN47">
        <v>1.5</v>
      </c>
    </row>
    <row r="48" spans="1:40" x14ac:dyDescent="0.35">
      <c r="A48" t="s">
        <v>37</v>
      </c>
      <c r="B48" t="s">
        <v>38</v>
      </c>
      <c r="C48">
        <v>8.9666666666666668</v>
      </c>
      <c r="D48">
        <v>8.9666666666666668</v>
      </c>
      <c r="E48">
        <v>0</v>
      </c>
      <c r="F48">
        <v>29.528571428571379</v>
      </c>
      <c r="G48">
        <v>0</v>
      </c>
      <c r="H48">
        <v>1.738616434786715</v>
      </c>
      <c r="I48">
        <v>0</v>
      </c>
      <c r="J48">
        <v>37.049999999999997</v>
      </c>
      <c r="K48">
        <v>4.2998359954600103</v>
      </c>
      <c r="L48">
        <v>0</v>
      </c>
      <c r="M48">
        <v>2.8496870252556001E-2</v>
      </c>
      <c r="N48">
        <v>3.7433704505318688E-2</v>
      </c>
      <c r="O48" t="s">
        <v>39</v>
      </c>
      <c r="P48">
        <v>-0.13333333333333289</v>
      </c>
      <c r="Q48">
        <v>-8.9285714285713986E-3</v>
      </c>
      <c r="R48">
        <v>25.253571428571369</v>
      </c>
      <c r="S48">
        <v>0</v>
      </c>
      <c r="T48">
        <v>16.880711105377511</v>
      </c>
      <c r="U48">
        <v>1.8244708333352451</v>
      </c>
      <c r="V48">
        <v>0.22376964135932209</v>
      </c>
      <c r="W48">
        <v>3.2657336420116958</v>
      </c>
      <c r="X48">
        <v>5.5300000000000002E-2</v>
      </c>
      <c r="Y48">
        <v>5.5300000000000002E-2</v>
      </c>
      <c r="Z48">
        <v>14.89840120883817</v>
      </c>
      <c r="AA48">
        <v>0.16200666444754311</v>
      </c>
      <c r="AB48">
        <v>0</v>
      </c>
      <c r="AC48">
        <v>0</v>
      </c>
      <c r="AD48">
        <v>0</v>
      </c>
      <c r="AE48">
        <v>0</v>
      </c>
      <c r="AG48">
        <f t="shared" si="3"/>
        <v>0.61666666666666714</v>
      </c>
      <c r="AN48">
        <v>1.5</v>
      </c>
    </row>
    <row r="49" spans="1:40" x14ac:dyDescent="0.35">
      <c r="A49" t="s">
        <v>37</v>
      </c>
      <c r="B49" t="s">
        <v>38</v>
      </c>
      <c r="C49">
        <v>9.9333333333333318</v>
      </c>
      <c r="D49">
        <v>9.9333333333333318</v>
      </c>
      <c r="E49">
        <v>1</v>
      </c>
      <c r="F49">
        <v>30.71428571428574</v>
      </c>
      <c r="G49">
        <v>0</v>
      </c>
      <c r="H49">
        <v>1.7329925102438899</v>
      </c>
      <c r="I49">
        <v>9.2909780101038439E-2</v>
      </c>
      <c r="J49">
        <v>32.984999999999999</v>
      </c>
      <c r="K49">
        <v>1.268118170143006</v>
      </c>
      <c r="L49">
        <v>0</v>
      </c>
      <c r="M49">
        <v>-1.153378068761224E-3</v>
      </c>
      <c r="N49">
        <v>8.1693124701497061E-2</v>
      </c>
      <c r="O49" t="s">
        <v>39</v>
      </c>
      <c r="P49">
        <v>0.83333333333333215</v>
      </c>
      <c r="Q49">
        <v>5.5803571428571362E-2</v>
      </c>
      <c r="R49">
        <v>29.528571428571379</v>
      </c>
      <c r="S49">
        <v>0</v>
      </c>
      <c r="T49">
        <v>19.994347224449999</v>
      </c>
      <c r="U49">
        <v>1.8787640277759869</v>
      </c>
      <c r="V49">
        <v>6.6239447678168306E-3</v>
      </c>
      <c r="W49">
        <v>0.11119235066018709</v>
      </c>
      <c r="X49">
        <v>1.996666666666667E-3</v>
      </c>
      <c r="Y49">
        <v>1.996666666666667E-3</v>
      </c>
      <c r="Z49">
        <v>16.880711105377511</v>
      </c>
      <c r="AA49">
        <v>4.0622027041430017E-2</v>
      </c>
      <c r="AB49">
        <v>2.6577629109159999E-3</v>
      </c>
      <c r="AC49">
        <v>8.1631289406705804E-2</v>
      </c>
      <c r="AD49">
        <v>4.0907494581521884E-3</v>
      </c>
      <c r="AE49">
        <v>8.179186507452553E-2</v>
      </c>
      <c r="AH49">
        <f>D49-D48</f>
        <v>0.96666666666666501</v>
      </c>
      <c r="AN49">
        <v>1.4666666666666703</v>
      </c>
    </row>
    <row r="50" spans="1:40" x14ac:dyDescent="0.35">
      <c r="A50" t="s">
        <v>37</v>
      </c>
      <c r="B50" t="s">
        <v>38</v>
      </c>
      <c r="C50">
        <v>11.03333333333333</v>
      </c>
      <c r="D50">
        <v>11.03333333333333</v>
      </c>
      <c r="E50">
        <v>1</v>
      </c>
      <c r="F50">
        <v>31.58571428571431</v>
      </c>
      <c r="G50">
        <v>0</v>
      </c>
      <c r="H50">
        <v>1.7103948215539551</v>
      </c>
      <c r="I50">
        <v>0.17146358346836091</v>
      </c>
      <c r="J50">
        <v>33</v>
      </c>
      <c r="K50">
        <v>1.0220264476537819</v>
      </c>
      <c r="L50">
        <v>0</v>
      </c>
      <c r="M50">
        <v>-2.4730923828249561E-2</v>
      </c>
      <c r="N50">
        <v>4.3268006378859282E-2</v>
      </c>
      <c r="O50" t="s">
        <v>39</v>
      </c>
      <c r="P50">
        <v>1.933333333333334</v>
      </c>
      <c r="Q50">
        <v>0.12946428571428581</v>
      </c>
      <c r="R50">
        <v>30.71428571428574</v>
      </c>
      <c r="S50">
        <v>9.2909780101038439E-2</v>
      </c>
      <c r="T50">
        <v>20.118200970139888</v>
      </c>
      <c r="U50">
        <v>1.88099061110932</v>
      </c>
      <c r="V50">
        <v>6.7566993123669046E-3</v>
      </c>
      <c r="W50">
        <v>0.11398896196005651</v>
      </c>
      <c r="X50">
        <v>2.0516666666666669E-3</v>
      </c>
      <c r="Y50">
        <v>2.0516666666666669E-3</v>
      </c>
      <c r="Z50">
        <v>19.994347224449999</v>
      </c>
      <c r="AA50">
        <v>1.7898047073633509E-2</v>
      </c>
      <c r="AB50">
        <v>1.291368036371657E-3</v>
      </c>
      <c r="AC50">
        <v>4.0788781834539073E-2</v>
      </c>
      <c r="AD50">
        <v>2.159985784695504E-3</v>
      </c>
      <c r="AE50">
        <v>4.345502810914946E-2</v>
      </c>
      <c r="AH50">
        <f t="shared" ref="AH50:AH54" si="4">D50-D49</f>
        <v>1.0999999999999979</v>
      </c>
      <c r="AN50">
        <v>1.4666666666666703</v>
      </c>
    </row>
    <row r="51" spans="1:40" x14ac:dyDescent="0.35">
      <c r="A51" t="s">
        <v>37</v>
      </c>
      <c r="B51" t="s">
        <v>38</v>
      </c>
      <c r="C51">
        <v>11.96666666666666</v>
      </c>
      <c r="D51">
        <v>11.96666666666666</v>
      </c>
      <c r="E51">
        <v>1</v>
      </c>
      <c r="F51">
        <v>32.960714285714367</v>
      </c>
      <c r="G51">
        <v>0</v>
      </c>
      <c r="H51">
        <v>1.6693483038221431</v>
      </c>
      <c r="I51">
        <v>0.19406495815588631</v>
      </c>
      <c r="J51">
        <v>33</v>
      </c>
      <c r="K51">
        <v>0.79291351353705997</v>
      </c>
      <c r="L51">
        <v>0</v>
      </c>
      <c r="M51">
        <v>-3.7818544122050927E-2</v>
      </c>
      <c r="N51">
        <v>2.853230412142221E-2</v>
      </c>
      <c r="O51" t="s">
        <v>39</v>
      </c>
      <c r="P51">
        <v>2.866666666666664</v>
      </c>
      <c r="Q51">
        <v>0.1919642857142855</v>
      </c>
      <c r="R51">
        <v>31.58571428571431</v>
      </c>
      <c r="S51">
        <v>0.17146358346836091</v>
      </c>
      <c r="T51">
        <v>20.225689904998621</v>
      </c>
      <c r="U51">
        <v>1.8829272777759869</v>
      </c>
      <c r="V51">
        <v>6.8665879151818864E-3</v>
      </c>
      <c r="W51">
        <v>0.1163419779098033</v>
      </c>
      <c r="X51">
        <v>2.0983333333333331E-3</v>
      </c>
      <c r="Y51">
        <v>2.0983333333333331E-3</v>
      </c>
      <c r="Z51">
        <v>20.118200970139888</v>
      </c>
      <c r="AA51">
        <v>1.4016452039374359E-3</v>
      </c>
      <c r="AB51">
        <v>7.32260389109694E-4</v>
      </c>
      <c r="AC51">
        <v>2.4135825468190649E-2</v>
      </c>
      <c r="AD51">
        <v>1.421388845611391E-3</v>
      </c>
      <c r="AE51">
        <v>2.8748570025759951E-2</v>
      </c>
      <c r="AH51">
        <f t="shared" si="4"/>
        <v>0.93333333333333002</v>
      </c>
      <c r="AN51">
        <v>1.4666666666666686</v>
      </c>
    </row>
    <row r="52" spans="1:40" x14ac:dyDescent="0.35">
      <c r="A52" t="s">
        <v>37</v>
      </c>
      <c r="B52" t="s">
        <v>38</v>
      </c>
      <c r="C52">
        <v>12.96666666666667</v>
      </c>
      <c r="D52">
        <v>12.96666666666667</v>
      </c>
      <c r="E52">
        <v>1</v>
      </c>
      <c r="F52">
        <v>33.563095238095372</v>
      </c>
      <c r="G52">
        <v>0</v>
      </c>
      <c r="H52">
        <v>1.630065774402778</v>
      </c>
      <c r="I52">
        <v>0.2229784488956445</v>
      </c>
      <c r="J52">
        <v>33</v>
      </c>
      <c r="K52">
        <v>0.29200476999809483</v>
      </c>
      <c r="L52">
        <v>0</v>
      </c>
      <c r="M52">
        <v>-4.277740807601569E-2</v>
      </c>
      <c r="N52">
        <v>4.5599091612333047E-2</v>
      </c>
      <c r="O52" t="s">
        <v>39</v>
      </c>
      <c r="P52">
        <v>3.8666666666666671</v>
      </c>
      <c r="Q52">
        <v>0.25892857142857151</v>
      </c>
      <c r="R52">
        <v>32.960714285714367</v>
      </c>
      <c r="S52">
        <v>0.19406495815588631</v>
      </c>
      <c r="T52">
        <v>20.343285397064012</v>
      </c>
      <c r="U52">
        <v>1.8850506111093199</v>
      </c>
      <c r="V52">
        <v>6.9817166937889931E-3</v>
      </c>
      <c r="W52">
        <v>0.1188464479797303</v>
      </c>
      <c r="X52">
        <v>2.1483333333333328E-3</v>
      </c>
      <c r="Y52">
        <v>2.1483333333333328E-3</v>
      </c>
      <c r="Z52">
        <v>20.225689904998621</v>
      </c>
      <c r="AA52">
        <v>0</v>
      </c>
      <c r="AB52">
        <v>1.184262765768505E-3</v>
      </c>
      <c r="AC52">
        <v>3.9747523994418568E-2</v>
      </c>
      <c r="AD52">
        <v>2.2539728610473301E-3</v>
      </c>
      <c r="AE52">
        <v>4.5853213189522728E-2</v>
      </c>
      <c r="AH52">
        <f t="shared" si="4"/>
        <v>1.0000000000000107</v>
      </c>
      <c r="AN52">
        <v>1.4666666666666686</v>
      </c>
    </row>
    <row r="53" spans="1:40" x14ac:dyDescent="0.35">
      <c r="A53" t="s">
        <v>37</v>
      </c>
      <c r="B53" t="s">
        <v>38</v>
      </c>
      <c r="C53">
        <v>14.05</v>
      </c>
      <c r="D53">
        <v>14.05</v>
      </c>
      <c r="E53">
        <v>1</v>
      </c>
      <c r="F53">
        <v>33.396428571428487</v>
      </c>
      <c r="G53">
        <v>0</v>
      </c>
      <c r="H53">
        <v>1.591101985451699</v>
      </c>
      <c r="I53">
        <v>0.29891856646011278</v>
      </c>
      <c r="J53">
        <v>32.970000000000013</v>
      </c>
      <c r="K53">
        <v>0.3386508220904173</v>
      </c>
      <c r="L53">
        <v>0</v>
      </c>
      <c r="M53">
        <v>-4.7988327394478537E-2</v>
      </c>
      <c r="N53">
        <v>8.4279998729981404E-2</v>
      </c>
      <c r="O53" t="s">
        <v>39</v>
      </c>
      <c r="P53">
        <v>4.9499999999999993</v>
      </c>
      <c r="Q53">
        <v>0.33147321428571419</v>
      </c>
      <c r="R53">
        <v>33.563095238095372</v>
      </c>
      <c r="S53">
        <v>0.2229784488956445</v>
      </c>
      <c r="T53">
        <v>20.473495585547258</v>
      </c>
      <c r="U53">
        <v>1.8874073124982089</v>
      </c>
      <c r="V53">
        <v>7.1033301461409194E-3</v>
      </c>
      <c r="W53">
        <v>0.1215385607924384</v>
      </c>
      <c r="X53">
        <v>2.2025E-3</v>
      </c>
      <c r="Y53">
        <v>2.2025E-3</v>
      </c>
      <c r="Z53">
        <v>20.343285397064012</v>
      </c>
      <c r="AA53">
        <v>0</v>
      </c>
      <c r="AB53">
        <v>2.2536686727067071E-3</v>
      </c>
      <c r="AC53">
        <v>7.5264484851715593E-2</v>
      </c>
      <c r="AD53">
        <v>4.1335794280733633E-3</v>
      </c>
      <c r="AE53">
        <v>8.4628820173168973E-2</v>
      </c>
      <c r="AH53">
        <f t="shared" si="4"/>
        <v>1.0833333333333304</v>
      </c>
      <c r="AN53">
        <v>1.4666666666666597</v>
      </c>
    </row>
    <row r="54" spans="1:40" x14ac:dyDescent="0.35">
      <c r="A54" t="s">
        <v>37</v>
      </c>
      <c r="B54" t="s">
        <v>38</v>
      </c>
      <c r="C54">
        <v>14.93333333333333</v>
      </c>
      <c r="D54">
        <v>14.93333333333333</v>
      </c>
      <c r="E54">
        <v>1</v>
      </c>
      <c r="F54">
        <v>34.017857142857089</v>
      </c>
      <c r="G54">
        <v>0</v>
      </c>
      <c r="H54">
        <v>1.5546891070595159</v>
      </c>
      <c r="I54">
        <v>0.38726902469252961</v>
      </c>
      <c r="J54">
        <v>32.924999999999997</v>
      </c>
      <c r="K54">
        <v>1.088585063801069</v>
      </c>
      <c r="L54">
        <v>0</v>
      </c>
      <c r="M54">
        <v>-4.3582671053435267E-2</v>
      </c>
      <c r="N54">
        <v>0.113458397532369</v>
      </c>
      <c r="O54" t="s">
        <v>39</v>
      </c>
      <c r="P54">
        <v>5.8333333333333321</v>
      </c>
      <c r="Q54">
        <v>0.39062499999999989</v>
      </c>
      <c r="R54">
        <v>33.396428571428487</v>
      </c>
      <c r="S54">
        <v>0.29891856646011278</v>
      </c>
      <c r="T54">
        <v>20.581818207904131</v>
      </c>
      <c r="U54">
        <v>1.8893723611093201</v>
      </c>
      <c r="V54">
        <v>7.2001367313660738E-3</v>
      </c>
      <c r="W54">
        <v>0.1237179128238205</v>
      </c>
      <c r="X54">
        <v>2.2466666666666672E-3</v>
      </c>
      <c r="Y54">
        <v>2.2466666666666672E-3</v>
      </c>
      <c r="Z54">
        <v>20.473495585547258</v>
      </c>
      <c r="AA54">
        <v>3.9673549545892299E-3</v>
      </c>
      <c r="AB54">
        <v>3.0161237601724392E-3</v>
      </c>
      <c r="AC54">
        <v>0.102602067198723</v>
      </c>
      <c r="AD54">
        <v>5.5349289769680973E-3</v>
      </c>
      <c r="AE54">
        <v>0.1139189019976181</v>
      </c>
      <c r="AH54">
        <f t="shared" si="4"/>
        <v>0.88333333333332931</v>
      </c>
      <c r="AN54">
        <v>1.4333333333333407</v>
      </c>
    </row>
    <row r="55" spans="1:40" x14ac:dyDescent="0.35">
      <c r="A55" t="s">
        <v>40</v>
      </c>
      <c r="B55" t="s">
        <v>41</v>
      </c>
      <c r="C55">
        <v>0</v>
      </c>
      <c r="D55">
        <v>0</v>
      </c>
      <c r="E55">
        <v>0</v>
      </c>
      <c r="F55">
        <v>4.3478260869579732E-2</v>
      </c>
      <c r="G55">
        <v>9.5</v>
      </c>
      <c r="H55">
        <v>1.6309</v>
      </c>
      <c r="I55">
        <v>0</v>
      </c>
      <c r="J55">
        <v>36.989999999999988</v>
      </c>
      <c r="K55">
        <v>5.482089840602361E-2</v>
      </c>
      <c r="L55">
        <v>0</v>
      </c>
      <c r="M55">
        <v>-3.1502474235571509E-2</v>
      </c>
      <c r="N55">
        <v>0</v>
      </c>
      <c r="O55" t="s">
        <v>42</v>
      </c>
      <c r="P55">
        <v>-9.1</v>
      </c>
      <c r="Q55">
        <v>-0.61005586592178773</v>
      </c>
      <c r="R55">
        <v>4.3478260869579732E-2</v>
      </c>
      <c r="S55">
        <v>0</v>
      </c>
      <c r="T55">
        <v>4.3478260869579732E-2</v>
      </c>
      <c r="U55">
        <v>1.6309</v>
      </c>
      <c r="V55">
        <v>0.86978866894256124</v>
      </c>
      <c r="W55">
        <v>3.78168986496892E-2</v>
      </c>
      <c r="X55">
        <v>0</v>
      </c>
      <c r="Y55">
        <v>0</v>
      </c>
      <c r="Z55">
        <v>4.3478260869579732E-2</v>
      </c>
      <c r="AA55">
        <v>1.2415646573073591</v>
      </c>
      <c r="AB55">
        <v>0</v>
      </c>
      <c r="AC55">
        <v>0</v>
      </c>
      <c r="AD55">
        <v>0</v>
      </c>
      <c r="AE55">
        <v>0</v>
      </c>
      <c r="AN55">
        <v>1.2833333333333332</v>
      </c>
    </row>
    <row r="56" spans="1:40" x14ac:dyDescent="0.35">
      <c r="A56" t="s">
        <v>40</v>
      </c>
      <c r="B56" t="s">
        <v>41</v>
      </c>
      <c r="C56">
        <v>0.68333333333333357</v>
      </c>
      <c r="D56">
        <v>0.68333333333333357</v>
      </c>
      <c r="E56">
        <v>0</v>
      </c>
      <c r="F56">
        <v>0.1328787878787904</v>
      </c>
      <c r="G56">
        <v>9.4599999999999991</v>
      </c>
      <c r="H56">
        <v>1.6119000000000001</v>
      </c>
      <c r="I56">
        <v>0</v>
      </c>
      <c r="J56">
        <v>36.989999999999988</v>
      </c>
      <c r="K56">
        <v>6.9088237518358769E-2</v>
      </c>
      <c r="L56">
        <v>-6.5556273986783459E-2</v>
      </c>
      <c r="M56">
        <v>-3.5212198810283292E-2</v>
      </c>
      <c r="N56">
        <v>0</v>
      </c>
      <c r="O56" t="s">
        <v>42</v>
      </c>
      <c r="P56">
        <v>-8.4166666666666661</v>
      </c>
      <c r="Q56">
        <v>-0.56424581005586594</v>
      </c>
      <c r="R56">
        <v>4.3478260869579732E-2</v>
      </c>
      <c r="S56">
        <v>0</v>
      </c>
      <c r="T56">
        <v>7.8776649079133454E-2</v>
      </c>
      <c r="U56">
        <v>1.6309</v>
      </c>
      <c r="V56">
        <v>0.86978857149349187</v>
      </c>
      <c r="W56">
        <v>6.8519029069583584E-2</v>
      </c>
      <c r="X56">
        <v>0</v>
      </c>
      <c r="Y56">
        <v>0</v>
      </c>
      <c r="Z56">
        <v>4.3478260869579732E-2</v>
      </c>
      <c r="AA56">
        <v>0.4980891336844761</v>
      </c>
      <c r="AB56">
        <v>0</v>
      </c>
      <c r="AC56">
        <v>0</v>
      </c>
      <c r="AD56">
        <v>0</v>
      </c>
      <c r="AE56">
        <v>0</v>
      </c>
      <c r="AF56">
        <f t="shared" ref="AF56:AF64" si="5">C56-C55</f>
        <v>0.68333333333333357</v>
      </c>
      <c r="AN56">
        <v>1.2833333333333314</v>
      </c>
    </row>
    <row r="57" spans="1:40" x14ac:dyDescent="0.35">
      <c r="A57" t="s">
        <v>40</v>
      </c>
      <c r="B57" t="s">
        <v>41</v>
      </c>
      <c r="C57">
        <v>1.7166666666666659</v>
      </c>
      <c r="D57">
        <v>1.7166666666666659</v>
      </c>
      <c r="E57">
        <v>0</v>
      </c>
      <c r="F57">
        <v>0.46538461538462389</v>
      </c>
      <c r="G57">
        <v>8.98</v>
      </c>
      <c r="H57">
        <v>1.5927670118897761</v>
      </c>
      <c r="I57">
        <v>0</v>
      </c>
      <c r="J57">
        <v>37.020000000000003</v>
      </c>
      <c r="K57">
        <v>0.45284209743730092</v>
      </c>
      <c r="L57">
        <v>-1.528599235649708</v>
      </c>
      <c r="M57">
        <v>-3.7081959956554209E-2</v>
      </c>
      <c r="N57">
        <v>0</v>
      </c>
      <c r="O57" t="s">
        <v>42</v>
      </c>
      <c r="P57">
        <v>-7.3833333333333337</v>
      </c>
      <c r="Q57">
        <v>-0.49497206703910618</v>
      </c>
      <c r="R57">
        <v>0.1328787878787904</v>
      </c>
      <c r="S57">
        <v>0</v>
      </c>
      <c r="T57">
        <v>0.19352331735531769</v>
      </c>
      <c r="U57">
        <v>1.6309</v>
      </c>
      <c r="V57">
        <v>0.86978824279590006</v>
      </c>
      <c r="W57">
        <v>0.16832430614251509</v>
      </c>
      <c r="X57">
        <v>0</v>
      </c>
      <c r="Y57">
        <v>0</v>
      </c>
      <c r="Z57">
        <v>7.8776649079133454E-2</v>
      </c>
      <c r="AA57">
        <v>0.94976766338682206</v>
      </c>
      <c r="AB57">
        <v>0</v>
      </c>
      <c r="AC57">
        <v>0</v>
      </c>
      <c r="AD57">
        <v>0</v>
      </c>
      <c r="AE57">
        <v>0</v>
      </c>
      <c r="AF57">
        <f t="shared" si="5"/>
        <v>1.0333333333333323</v>
      </c>
      <c r="AN57">
        <v>1.2833333333333314</v>
      </c>
    </row>
    <row r="58" spans="1:40" x14ac:dyDescent="0.35">
      <c r="A58" t="s">
        <v>40</v>
      </c>
      <c r="B58" t="s">
        <v>41</v>
      </c>
      <c r="C58">
        <v>2.1499999999999981</v>
      </c>
      <c r="D58">
        <v>2.1499999999999981</v>
      </c>
      <c r="E58">
        <v>0</v>
      </c>
      <c r="F58">
        <v>0.68160714285712765</v>
      </c>
      <c r="G58">
        <v>8.17</v>
      </c>
      <c r="H58">
        <v>1.571721778649084</v>
      </c>
      <c r="I58">
        <v>0</v>
      </c>
      <c r="J58">
        <v>37.005000000000003</v>
      </c>
      <c r="K58">
        <v>0.62036845209203451</v>
      </c>
      <c r="L58">
        <v>-1.415547833380979</v>
      </c>
      <c r="M58">
        <v>-3.7726838884383433E-2</v>
      </c>
      <c r="N58">
        <v>0</v>
      </c>
      <c r="O58" t="s">
        <v>42</v>
      </c>
      <c r="P58">
        <v>-6.950000000000002</v>
      </c>
      <c r="Q58">
        <v>-0.46592178770949738</v>
      </c>
      <c r="R58">
        <v>0.46538461538462389</v>
      </c>
      <c r="S58">
        <v>0</v>
      </c>
      <c r="T58">
        <v>0.28211257343786778</v>
      </c>
      <c r="U58">
        <v>1.6309</v>
      </c>
      <c r="V58">
        <v>0.86978797580024458</v>
      </c>
      <c r="W58">
        <v>0.24537812419832089</v>
      </c>
      <c r="X58">
        <v>0</v>
      </c>
      <c r="Y58">
        <v>0</v>
      </c>
      <c r="Z58">
        <v>0.19352331735531769</v>
      </c>
      <c r="AA58">
        <v>0.88615193486324506</v>
      </c>
      <c r="AB58">
        <v>0</v>
      </c>
      <c r="AC58">
        <v>0</v>
      </c>
      <c r="AD58">
        <v>0</v>
      </c>
      <c r="AE58">
        <v>0</v>
      </c>
      <c r="AF58">
        <f t="shared" si="5"/>
        <v>0.43333333333333224</v>
      </c>
      <c r="AN58">
        <v>1.25</v>
      </c>
    </row>
    <row r="59" spans="1:40" x14ac:dyDescent="0.35">
      <c r="A59" t="s">
        <v>40</v>
      </c>
      <c r="B59" t="s">
        <v>41</v>
      </c>
      <c r="C59">
        <v>2.6166666666666649</v>
      </c>
      <c r="D59">
        <v>2.6166666666666649</v>
      </c>
      <c r="E59">
        <v>0</v>
      </c>
      <c r="F59">
        <v>0.92775000000004937</v>
      </c>
      <c r="G59">
        <v>7.71</v>
      </c>
      <c r="H59">
        <v>1.551212635231952</v>
      </c>
      <c r="I59">
        <v>0</v>
      </c>
      <c r="J59">
        <v>37.020000000000003</v>
      </c>
      <c r="K59">
        <v>0.87699241188587396</v>
      </c>
      <c r="L59">
        <v>-0.76680776688742136</v>
      </c>
      <c r="M59">
        <v>-3.1016070297462409E-2</v>
      </c>
      <c r="N59">
        <v>0</v>
      </c>
      <c r="O59" t="s">
        <v>42</v>
      </c>
      <c r="P59">
        <v>-6.4833333333333343</v>
      </c>
      <c r="Q59">
        <v>-0.43463687150837998</v>
      </c>
      <c r="R59">
        <v>0.68160714285712765</v>
      </c>
      <c r="S59">
        <v>0</v>
      </c>
      <c r="T59">
        <v>0.42335334083462423</v>
      </c>
      <c r="U59">
        <v>1.6309</v>
      </c>
      <c r="V59">
        <v>0.86978752409923343</v>
      </c>
      <c r="W59">
        <v>0.36822745414368663</v>
      </c>
      <c r="X59">
        <v>0</v>
      </c>
      <c r="Y59">
        <v>0</v>
      </c>
      <c r="Z59">
        <v>0.28211257343786778</v>
      </c>
      <c r="AA59">
        <v>0.9252948592011343</v>
      </c>
      <c r="AB59">
        <v>0</v>
      </c>
      <c r="AC59">
        <v>0</v>
      </c>
      <c r="AD59">
        <v>0</v>
      </c>
      <c r="AE59">
        <v>0</v>
      </c>
      <c r="AF59">
        <f t="shared" si="5"/>
        <v>0.46666666666666679</v>
      </c>
      <c r="AN59">
        <v>1.18333333333333</v>
      </c>
    </row>
    <row r="60" spans="1:40" x14ac:dyDescent="0.35">
      <c r="A60" t="s">
        <v>40</v>
      </c>
      <c r="B60" t="s">
        <v>41</v>
      </c>
      <c r="C60">
        <v>3.1666666666666661</v>
      </c>
      <c r="D60">
        <v>3.1666666666666661</v>
      </c>
      <c r="E60">
        <v>0</v>
      </c>
      <c r="F60">
        <v>1.43027777777781</v>
      </c>
      <c r="G60">
        <v>7.24</v>
      </c>
      <c r="H60">
        <v>1.5330140583554399</v>
      </c>
      <c r="I60">
        <v>0</v>
      </c>
      <c r="J60">
        <v>37.005000000000003</v>
      </c>
      <c r="K60">
        <v>1.357964953076759</v>
      </c>
      <c r="L60">
        <v>-2.5856629813553411</v>
      </c>
      <c r="M60">
        <v>-2.2262051441050649E-2</v>
      </c>
      <c r="N60">
        <v>0</v>
      </c>
      <c r="O60" t="s">
        <v>42</v>
      </c>
      <c r="P60">
        <v>-5.9333333333333336</v>
      </c>
      <c r="Q60">
        <v>-0.39776536312849159</v>
      </c>
      <c r="R60">
        <v>0.92775000000004937</v>
      </c>
      <c r="S60">
        <v>0</v>
      </c>
      <c r="T60">
        <v>0.68306502595026608</v>
      </c>
      <c r="U60">
        <v>1.6309</v>
      </c>
      <c r="V60">
        <v>0.86978659837012084</v>
      </c>
      <c r="W60">
        <v>0.59412080538688028</v>
      </c>
      <c r="X60">
        <v>0</v>
      </c>
      <c r="Y60">
        <v>0</v>
      </c>
      <c r="Z60">
        <v>0.42335334083462423</v>
      </c>
      <c r="AA60">
        <v>0.93491965917274467</v>
      </c>
      <c r="AB60">
        <v>0</v>
      </c>
      <c r="AC60">
        <v>0</v>
      </c>
      <c r="AD60">
        <v>0</v>
      </c>
      <c r="AE60">
        <v>0</v>
      </c>
      <c r="AF60">
        <f t="shared" si="5"/>
        <v>0.55000000000000115</v>
      </c>
      <c r="AN60">
        <v>1.1166666666666689</v>
      </c>
    </row>
    <row r="61" spans="1:40" x14ac:dyDescent="0.35">
      <c r="A61" t="s">
        <v>40</v>
      </c>
      <c r="B61" t="s">
        <v>41</v>
      </c>
      <c r="C61">
        <v>3.6666666666666652</v>
      </c>
      <c r="D61">
        <v>3.6666666666666652</v>
      </c>
      <c r="E61">
        <v>0</v>
      </c>
      <c r="F61">
        <v>2.204500000000031</v>
      </c>
      <c r="G61">
        <v>5.08</v>
      </c>
      <c r="H61">
        <v>1.5204407519428269</v>
      </c>
      <c r="I61">
        <v>0</v>
      </c>
      <c r="J61">
        <v>36.989999999999988</v>
      </c>
      <c r="K61">
        <v>1.9361062300165399</v>
      </c>
      <c r="L61">
        <v>-4.2736603923222827</v>
      </c>
      <c r="M61">
        <v>-1.433668933548175E-2</v>
      </c>
      <c r="N61">
        <v>0</v>
      </c>
      <c r="O61" t="s">
        <v>42</v>
      </c>
      <c r="P61">
        <v>-5.4333333333333336</v>
      </c>
      <c r="Q61">
        <v>-0.36424581005586598</v>
      </c>
      <c r="R61">
        <v>1.43027777777781</v>
      </c>
      <c r="S61">
        <v>0</v>
      </c>
      <c r="T61">
        <v>1.0551972609180951</v>
      </c>
      <c r="U61">
        <v>1.6309</v>
      </c>
      <c r="V61">
        <v>0.86978500398317438</v>
      </c>
      <c r="W61">
        <v>0.91779475379067954</v>
      </c>
      <c r="X61">
        <v>0</v>
      </c>
      <c r="Y61">
        <v>0</v>
      </c>
      <c r="Z61">
        <v>0.68306502595026608</v>
      </c>
      <c r="AA61">
        <v>0.86882256384855916</v>
      </c>
      <c r="AB61">
        <v>0</v>
      </c>
      <c r="AC61">
        <v>0</v>
      </c>
      <c r="AD61">
        <v>0</v>
      </c>
      <c r="AE61">
        <v>0</v>
      </c>
      <c r="AF61">
        <f t="shared" si="5"/>
        <v>0.49999999999999911</v>
      </c>
      <c r="AN61">
        <v>1.0999999999999979</v>
      </c>
    </row>
    <row r="62" spans="1:40" x14ac:dyDescent="0.35">
      <c r="A62" t="s">
        <v>40</v>
      </c>
      <c r="B62" t="s">
        <v>41</v>
      </c>
      <c r="C62">
        <v>4.166666666666667</v>
      </c>
      <c r="D62">
        <v>4.166666666666667</v>
      </c>
      <c r="E62">
        <v>0</v>
      </c>
      <c r="F62">
        <v>3.4110714285714598</v>
      </c>
      <c r="G62">
        <v>3.08</v>
      </c>
      <c r="H62">
        <v>1.5128123569928009</v>
      </c>
      <c r="I62">
        <v>0</v>
      </c>
      <c r="J62">
        <v>36.96</v>
      </c>
      <c r="K62">
        <v>2.3336323519970419</v>
      </c>
      <c r="L62">
        <v>-4.8093834240392521</v>
      </c>
      <c r="M62">
        <v>-6.1555191496076734E-3</v>
      </c>
      <c r="N62">
        <v>0</v>
      </c>
      <c r="O62" t="s">
        <v>42</v>
      </c>
      <c r="P62">
        <v>-4.9333333333333327</v>
      </c>
      <c r="Q62">
        <v>-0.33072625698324021</v>
      </c>
      <c r="R62">
        <v>2.204500000000031</v>
      </c>
      <c r="S62">
        <v>0</v>
      </c>
      <c r="T62">
        <v>1.630064365262534</v>
      </c>
      <c r="U62">
        <v>1.6309</v>
      </c>
      <c r="V62">
        <v>0.86978162740528875</v>
      </c>
      <c r="W62">
        <v>1.417800036393416</v>
      </c>
      <c r="X62">
        <v>0</v>
      </c>
      <c r="Y62">
        <v>0</v>
      </c>
      <c r="Z62">
        <v>1.0551972609180951</v>
      </c>
      <c r="AA62">
        <v>0.68006578247406113</v>
      </c>
      <c r="AB62">
        <v>0</v>
      </c>
      <c r="AC62">
        <v>0</v>
      </c>
      <c r="AD62">
        <v>0</v>
      </c>
      <c r="AE62">
        <v>0</v>
      </c>
      <c r="AF62">
        <f t="shared" si="5"/>
        <v>0.50000000000000178</v>
      </c>
      <c r="AN62">
        <v>1.0999999999999979</v>
      </c>
    </row>
    <row r="63" spans="1:40" x14ac:dyDescent="0.35">
      <c r="A63" t="s">
        <v>40</v>
      </c>
      <c r="B63" t="s">
        <v>41</v>
      </c>
      <c r="C63">
        <v>4.6499999999999977</v>
      </c>
      <c r="D63">
        <v>4.6499999999999977</v>
      </c>
      <c r="E63">
        <v>0</v>
      </c>
      <c r="F63">
        <v>4.485714285714332</v>
      </c>
      <c r="G63">
        <v>0.6</v>
      </c>
      <c r="H63">
        <v>1.5092203034422791</v>
      </c>
      <c r="I63">
        <v>0</v>
      </c>
      <c r="J63">
        <v>37.064999999999998</v>
      </c>
      <c r="K63">
        <v>2.8784784829087</v>
      </c>
      <c r="L63">
        <v>-3.321869548739171</v>
      </c>
      <c r="M63">
        <v>3.647225922718014E-3</v>
      </c>
      <c r="N63">
        <v>0</v>
      </c>
      <c r="O63" t="s">
        <v>42</v>
      </c>
      <c r="P63">
        <v>-4.450000000000002</v>
      </c>
      <c r="Q63">
        <v>-0.29832402234636879</v>
      </c>
      <c r="R63">
        <v>3.4110714285714598</v>
      </c>
      <c r="S63">
        <v>0</v>
      </c>
      <c r="T63">
        <v>2.4818696744247069</v>
      </c>
      <c r="U63">
        <v>1.6309</v>
      </c>
      <c r="V63">
        <v>0.86977242856406933</v>
      </c>
      <c r="W63">
        <v>2.158661814103894</v>
      </c>
      <c r="X63">
        <v>0</v>
      </c>
      <c r="Y63">
        <v>0</v>
      </c>
      <c r="Z63">
        <v>1.630064365262534</v>
      </c>
      <c r="AA63">
        <v>0.64411565409743132</v>
      </c>
      <c r="AB63">
        <v>0</v>
      </c>
      <c r="AC63">
        <v>0</v>
      </c>
      <c r="AD63">
        <v>0</v>
      </c>
      <c r="AE63">
        <v>0</v>
      </c>
      <c r="AF63">
        <f t="shared" si="5"/>
        <v>0.48333333333333073</v>
      </c>
      <c r="AN63">
        <v>1.0833333333333304</v>
      </c>
    </row>
    <row r="64" spans="1:40" x14ac:dyDescent="0.35">
      <c r="A64" t="s">
        <v>40</v>
      </c>
      <c r="B64" t="s">
        <v>41</v>
      </c>
      <c r="C64">
        <v>5.5000000000000009</v>
      </c>
      <c r="D64">
        <v>5.5000000000000009</v>
      </c>
      <c r="E64">
        <v>0</v>
      </c>
      <c r="F64">
        <v>8.025000000000075</v>
      </c>
      <c r="G64">
        <v>0.13114607679465781</v>
      </c>
      <c r="H64">
        <v>1.5222940426795271</v>
      </c>
      <c r="I64">
        <v>0</v>
      </c>
      <c r="J64">
        <v>36.96</v>
      </c>
      <c r="K64">
        <v>3.8070306526130802</v>
      </c>
      <c r="L64">
        <v>-5.8615707428942574E-3</v>
      </c>
      <c r="M64">
        <v>2.289172755662507E-2</v>
      </c>
      <c r="N64">
        <v>0</v>
      </c>
      <c r="O64" t="s">
        <v>42</v>
      </c>
      <c r="P64">
        <v>-3.5999999999999992</v>
      </c>
      <c r="Q64">
        <v>-0.241340782122905</v>
      </c>
      <c r="R64">
        <v>4.485714285714332</v>
      </c>
      <c r="S64">
        <v>0</v>
      </c>
      <c r="T64">
        <v>4.1831032608699159</v>
      </c>
      <c r="U64">
        <v>1.6309</v>
      </c>
      <c r="V64">
        <v>0</v>
      </c>
      <c r="W64">
        <v>0</v>
      </c>
      <c r="X64">
        <v>0</v>
      </c>
      <c r="Y64">
        <v>0</v>
      </c>
      <c r="Z64">
        <v>2.4818696744247069</v>
      </c>
      <c r="AA64">
        <v>0.48943399467703608</v>
      </c>
      <c r="AB64">
        <v>0</v>
      </c>
      <c r="AC64">
        <v>0</v>
      </c>
      <c r="AD64">
        <v>0</v>
      </c>
      <c r="AE64">
        <v>0</v>
      </c>
      <c r="AF64">
        <f t="shared" si="5"/>
        <v>0.8500000000000032</v>
      </c>
      <c r="AN64">
        <v>1.06666666666667</v>
      </c>
    </row>
    <row r="65" spans="1:40" x14ac:dyDescent="0.35">
      <c r="A65" t="s">
        <v>40</v>
      </c>
      <c r="B65" t="s">
        <v>41</v>
      </c>
      <c r="C65">
        <v>6.4999999999999991</v>
      </c>
      <c r="D65">
        <v>6.4999999999999991</v>
      </c>
      <c r="E65">
        <v>0</v>
      </c>
      <c r="F65">
        <v>11.51785714285718</v>
      </c>
      <c r="G65">
        <v>8.0796327212020028E-2</v>
      </c>
      <c r="H65">
        <v>1.559572932620515</v>
      </c>
      <c r="I65">
        <v>0</v>
      </c>
      <c r="J65">
        <v>37.125</v>
      </c>
      <c r="K65">
        <v>5.38403013953711</v>
      </c>
      <c r="L65">
        <v>-0.1571460768664121</v>
      </c>
      <c r="M65">
        <v>3.9977194431515643E-2</v>
      </c>
      <c r="N65">
        <v>0</v>
      </c>
      <c r="O65" t="s">
        <v>42</v>
      </c>
      <c r="P65">
        <v>-2.600000000000001</v>
      </c>
      <c r="Q65">
        <v>-0.1743016759776537</v>
      </c>
      <c r="R65">
        <v>8.025000000000075</v>
      </c>
      <c r="S65">
        <v>0</v>
      </c>
      <c r="T65">
        <v>6.6440727033284492</v>
      </c>
      <c r="U65">
        <v>1.6649200000011699</v>
      </c>
      <c r="V65">
        <v>0.45628482438834372</v>
      </c>
      <c r="W65">
        <v>2.8699692018494778</v>
      </c>
      <c r="X65">
        <v>4.0499999999999987E-2</v>
      </c>
      <c r="Y65">
        <v>4.0499999999999987E-2</v>
      </c>
      <c r="Z65">
        <v>4.1831032608699159</v>
      </c>
      <c r="AA65">
        <v>0.49308410290381149</v>
      </c>
      <c r="AB65">
        <v>0</v>
      </c>
      <c r="AC65">
        <v>0</v>
      </c>
      <c r="AD65">
        <v>0</v>
      </c>
      <c r="AE65">
        <v>0</v>
      </c>
      <c r="AG65">
        <f t="shared" ref="AG65:AG69" si="6">C65-C64</f>
        <v>0.99999999999999822</v>
      </c>
      <c r="AN65">
        <v>1.0500000000000007</v>
      </c>
    </row>
    <row r="66" spans="1:40" x14ac:dyDescent="0.35">
      <c r="A66" t="s">
        <v>40</v>
      </c>
      <c r="B66" t="s">
        <v>41</v>
      </c>
      <c r="C66">
        <v>7.0000000000000018</v>
      </c>
      <c r="D66">
        <v>7.0000000000000018</v>
      </c>
      <c r="E66">
        <v>0</v>
      </c>
      <c r="F66">
        <v>14.97857142857154</v>
      </c>
      <c r="G66">
        <v>0</v>
      </c>
      <c r="H66">
        <v>1.581838847385326</v>
      </c>
      <c r="I66">
        <v>0</v>
      </c>
      <c r="J66">
        <v>37.034999999999997</v>
      </c>
      <c r="K66">
        <v>6.135431649563742</v>
      </c>
      <c r="L66">
        <v>-9.5184714249776217E-2</v>
      </c>
      <c r="M66">
        <v>4.7771628662869603E-2</v>
      </c>
      <c r="N66">
        <v>0</v>
      </c>
      <c r="O66" t="s">
        <v>42</v>
      </c>
      <c r="P66">
        <v>-2.0999999999999979</v>
      </c>
      <c r="Q66">
        <v>-0.14078212290502781</v>
      </c>
      <c r="R66">
        <v>11.51785714285718</v>
      </c>
      <c r="S66">
        <v>0</v>
      </c>
      <c r="T66">
        <v>8.1136631614931112</v>
      </c>
      <c r="U66">
        <v>1.68592000000117</v>
      </c>
      <c r="V66">
        <v>0.39631589040468268</v>
      </c>
      <c r="W66">
        <v>3.0062254223891909</v>
      </c>
      <c r="X66">
        <v>4.3500000000000011E-2</v>
      </c>
      <c r="Y66">
        <v>4.3500000000000011E-2</v>
      </c>
      <c r="Z66">
        <v>6.6440727033284492</v>
      </c>
      <c r="AA66">
        <v>0.43981399976313063</v>
      </c>
      <c r="AB66">
        <v>0</v>
      </c>
      <c r="AC66">
        <v>0</v>
      </c>
      <c r="AD66">
        <v>0</v>
      </c>
      <c r="AE66">
        <v>0</v>
      </c>
      <c r="AG66">
        <f t="shared" si="6"/>
        <v>0.50000000000000266</v>
      </c>
      <c r="AN66">
        <v>1.0500000000000007</v>
      </c>
    </row>
    <row r="67" spans="1:40" x14ac:dyDescent="0.35">
      <c r="A67" t="s">
        <v>40</v>
      </c>
      <c r="B67" t="s">
        <v>41</v>
      </c>
      <c r="C67">
        <v>7.7166666666666668</v>
      </c>
      <c r="D67">
        <v>7.7166666666666668</v>
      </c>
      <c r="E67">
        <v>0</v>
      </c>
      <c r="F67">
        <v>19.460714285714261</v>
      </c>
      <c r="G67">
        <v>0</v>
      </c>
      <c r="H67">
        <v>1.624528540849328</v>
      </c>
      <c r="I67">
        <v>0</v>
      </c>
      <c r="J67">
        <v>37.034999999999997</v>
      </c>
      <c r="K67">
        <v>5.8051176624755936</v>
      </c>
      <c r="L67">
        <v>0</v>
      </c>
      <c r="M67">
        <v>6.0409630789428508E-2</v>
      </c>
      <c r="N67">
        <v>0</v>
      </c>
      <c r="O67" t="s">
        <v>42</v>
      </c>
      <c r="P67">
        <v>-1.3833333333333331</v>
      </c>
      <c r="Q67">
        <v>-9.2737430167597737E-2</v>
      </c>
      <c r="R67">
        <v>14.97857142857154</v>
      </c>
      <c r="S67">
        <v>0</v>
      </c>
      <c r="T67">
        <v>10.33156584378859</v>
      </c>
      <c r="U67">
        <v>1.7186358333345031</v>
      </c>
      <c r="V67">
        <v>0.33549236980259978</v>
      </c>
      <c r="W67">
        <v>3.178812183294828</v>
      </c>
      <c r="X67">
        <v>4.7800000000000002E-2</v>
      </c>
      <c r="Y67">
        <v>4.7800000000000002E-2</v>
      </c>
      <c r="Z67">
        <v>8.1136631614931112</v>
      </c>
      <c r="AA67">
        <v>0.33548525709262339</v>
      </c>
      <c r="AB67">
        <v>0</v>
      </c>
      <c r="AC67">
        <v>0</v>
      </c>
      <c r="AD67">
        <v>0</v>
      </c>
      <c r="AE67">
        <v>0</v>
      </c>
      <c r="AG67">
        <f t="shared" si="6"/>
        <v>0.71666666666666501</v>
      </c>
      <c r="AN67">
        <v>1.0499999999999972</v>
      </c>
    </row>
    <row r="68" spans="1:40" x14ac:dyDescent="0.35">
      <c r="A68" t="s">
        <v>40</v>
      </c>
      <c r="B68" t="s">
        <v>41</v>
      </c>
      <c r="C68">
        <v>8.35</v>
      </c>
      <c r="D68">
        <v>8.35</v>
      </c>
      <c r="E68">
        <v>0</v>
      </c>
      <c r="F68">
        <v>22.096428571428529</v>
      </c>
      <c r="G68">
        <v>0</v>
      </c>
      <c r="H68">
        <v>1.678506519875935</v>
      </c>
      <c r="I68">
        <v>0</v>
      </c>
      <c r="J68">
        <v>36.989999999999988</v>
      </c>
      <c r="K68">
        <v>6.7510119672758009</v>
      </c>
      <c r="L68">
        <v>0</v>
      </c>
      <c r="M68">
        <v>5.1753757585784273E-2</v>
      </c>
      <c r="N68">
        <v>0</v>
      </c>
      <c r="O68" t="s">
        <v>42</v>
      </c>
      <c r="P68">
        <v>-0.75</v>
      </c>
      <c r="Q68">
        <v>-5.027932960893855E-2</v>
      </c>
      <c r="R68">
        <v>19.460714285714261</v>
      </c>
      <c r="S68">
        <v>0</v>
      </c>
      <c r="T68">
        <v>12.38718794936266</v>
      </c>
      <c r="U68">
        <v>1.750112500001169</v>
      </c>
      <c r="V68">
        <v>0.29663011612342249</v>
      </c>
      <c r="W68">
        <v>3.3091913937158228</v>
      </c>
      <c r="X68">
        <v>5.16E-2</v>
      </c>
      <c r="Y68">
        <v>5.16E-2</v>
      </c>
      <c r="Z68">
        <v>10.33156584378859</v>
      </c>
      <c r="AA68">
        <v>0.3363582465062418</v>
      </c>
      <c r="AB68">
        <v>0</v>
      </c>
      <c r="AC68">
        <v>0</v>
      </c>
      <c r="AD68">
        <v>0</v>
      </c>
      <c r="AE68">
        <v>0</v>
      </c>
      <c r="AG68">
        <f t="shared" si="6"/>
        <v>0.63333333333333286</v>
      </c>
      <c r="AN68">
        <v>1.0499999999999972</v>
      </c>
    </row>
    <row r="69" spans="1:40" x14ac:dyDescent="0.35">
      <c r="A69" t="s">
        <v>40</v>
      </c>
      <c r="B69" t="s">
        <v>41</v>
      </c>
      <c r="C69">
        <v>9.0666666666666647</v>
      </c>
      <c r="D69">
        <v>9.0666666666666647</v>
      </c>
      <c r="E69">
        <v>0</v>
      </c>
      <c r="F69">
        <v>28.42857142857147</v>
      </c>
      <c r="G69">
        <v>0</v>
      </c>
      <c r="H69">
        <v>1.701797680380571</v>
      </c>
      <c r="I69">
        <v>0</v>
      </c>
      <c r="J69">
        <v>36.670000000000009</v>
      </c>
      <c r="K69">
        <v>4.8937470628862956</v>
      </c>
      <c r="L69">
        <v>0</v>
      </c>
      <c r="M69">
        <v>1.9792167814542211E-2</v>
      </c>
      <c r="N69">
        <v>3.0347871227525209E-2</v>
      </c>
      <c r="O69" t="s">
        <v>42</v>
      </c>
      <c r="P69">
        <v>-3.3333333333334991E-2</v>
      </c>
      <c r="Q69">
        <v>-2.2346368715084912E-3</v>
      </c>
      <c r="R69">
        <v>22.096428571428529</v>
      </c>
      <c r="S69">
        <v>0</v>
      </c>
      <c r="T69">
        <v>14.80438644820013</v>
      </c>
      <c r="U69">
        <v>1.788633333334503</v>
      </c>
      <c r="V69">
        <v>0.26308979584828263</v>
      </c>
      <c r="W69">
        <v>3.4322028228184589</v>
      </c>
      <c r="X69">
        <v>5.5899999999999991E-2</v>
      </c>
      <c r="Y69">
        <v>5.5899999999999991E-2</v>
      </c>
      <c r="Z69">
        <v>12.38718794936266</v>
      </c>
      <c r="AA69">
        <v>0.18377200972827901</v>
      </c>
      <c r="AB69">
        <v>0</v>
      </c>
      <c r="AC69">
        <v>0</v>
      </c>
      <c r="AD69">
        <v>0</v>
      </c>
      <c r="AE69">
        <v>0</v>
      </c>
      <c r="AG69">
        <f t="shared" si="6"/>
        <v>0.71666666666666501</v>
      </c>
      <c r="AN69">
        <v>1.0166666666666728</v>
      </c>
    </row>
    <row r="70" spans="1:40" x14ac:dyDescent="0.35">
      <c r="A70" t="s">
        <v>40</v>
      </c>
      <c r="B70" t="s">
        <v>41</v>
      </c>
      <c r="C70">
        <v>9.9333333333333318</v>
      </c>
      <c r="D70">
        <v>9.9333333333333318</v>
      </c>
      <c r="E70">
        <v>1</v>
      </c>
      <c r="F70">
        <v>29.314285714285688</v>
      </c>
      <c r="G70">
        <v>0</v>
      </c>
      <c r="H70">
        <v>1.6865116767918791</v>
      </c>
      <c r="I70">
        <v>5.8107939482160788E-2</v>
      </c>
      <c r="J70">
        <v>36.945</v>
      </c>
      <c r="K70">
        <v>0.79842137737356378</v>
      </c>
      <c r="L70">
        <v>0</v>
      </c>
      <c r="M70">
        <v>-1.0099393376090801E-2</v>
      </c>
      <c r="N70">
        <v>6.355035579674842E-2</v>
      </c>
      <c r="O70" t="s">
        <v>42</v>
      </c>
      <c r="P70">
        <v>0.83333333333333215</v>
      </c>
      <c r="Q70">
        <v>5.5865921787709417E-2</v>
      </c>
      <c r="R70">
        <v>28.42857142857147</v>
      </c>
      <c r="S70">
        <v>0</v>
      </c>
      <c r="T70">
        <v>15.019692508297011</v>
      </c>
      <c r="U70">
        <v>1.7921465277757209</v>
      </c>
      <c r="V70">
        <v>9.2444577417375735E-3</v>
      </c>
      <c r="W70">
        <v>0.1221151697087406</v>
      </c>
      <c r="X70">
        <v>1.996666666666667E-3</v>
      </c>
      <c r="Y70">
        <v>1.996666666666667E-3</v>
      </c>
      <c r="Z70">
        <v>14.80438644820013</v>
      </c>
      <c r="AA70">
        <v>2.1248263784706688E-2</v>
      </c>
      <c r="AB70">
        <v>2.1560268166334381E-3</v>
      </c>
      <c r="AC70">
        <v>6.3202386110454437E-2</v>
      </c>
      <c r="AD70">
        <v>4.2354458982013796E-3</v>
      </c>
      <c r="AE70">
        <v>6.361509502651258E-2</v>
      </c>
      <c r="AH70">
        <f>D70-D69</f>
        <v>0.86666666666666714</v>
      </c>
      <c r="AN70">
        <v>1.0000000000000107</v>
      </c>
    </row>
    <row r="71" spans="1:40" x14ac:dyDescent="0.35">
      <c r="A71" t="s">
        <v>40</v>
      </c>
      <c r="B71" t="s">
        <v>41</v>
      </c>
      <c r="C71">
        <v>11.03333333333333</v>
      </c>
      <c r="D71">
        <v>11.03333333333333</v>
      </c>
      <c r="E71">
        <v>1</v>
      </c>
      <c r="F71">
        <v>30.06428571428577</v>
      </c>
      <c r="G71">
        <v>0</v>
      </c>
      <c r="H71">
        <v>1.6547282957831591</v>
      </c>
      <c r="I71">
        <v>0.12194008428963291</v>
      </c>
      <c r="J71">
        <v>36.96</v>
      </c>
      <c r="K71">
        <v>0.67369706561619158</v>
      </c>
      <c r="L71">
        <v>0</v>
      </c>
      <c r="M71">
        <v>-3.47671888534569E-2</v>
      </c>
      <c r="N71">
        <v>5.3492552861247863E-2</v>
      </c>
      <c r="O71" t="s">
        <v>42</v>
      </c>
      <c r="P71">
        <v>1.933333333333334</v>
      </c>
      <c r="Q71">
        <v>0.12960893854748609</v>
      </c>
      <c r="R71">
        <v>29.314285714285688</v>
      </c>
      <c r="S71">
        <v>5.8107939482160788E-2</v>
      </c>
      <c r="T71">
        <v>15.15569778710702</v>
      </c>
      <c r="U71">
        <v>1.794373111109054</v>
      </c>
      <c r="V71">
        <v>9.4020108733510917E-3</v>
      </c>
      <c r="W71">
        <v>0.1251651756496959</v>
      </c>
      <c r="X71">
        <v>2.0516666666666669E-3</v>
      </c>
      <c r="Y71">
        <v>2.0516666666666669E-3</v>
      </c>
      <c r="Z71">
        <v>15.019692508297011</v>
      </c>
      <c r="AA71">
        <v>1.39773628339818E-3</v>
      </c>
      <c r="AB71">
        <v>1.6940529665290969E-3</v>
      </c>
      <c r="AC71">
        <v>5.0930492400864169E-2</v>
      </c>
      <c r="AD71">
        <v>3.5387336550606282E-3</v>
      </c>
      <c r="AE71">
        <v>5.3631977825163497E-2</v>
      </c>
      <c r="AH71">
        <f t="shared" ref="AH71:AH75" si="7">D71-D70</f>
        <v>1.0999999999999979</v>
      </c>
      <c r="AN71">
        <v>1</v>
      </c>
    </row>
    <row r="72" spans="1:40" x14ac:dyDescent="0.35">
      <c r="A72" t="s">
        <v>40</v>
      </c>
      <c r="B72" t="s">
        <v>41</v>
      </c>
      <c r="C72">
        <v>12</v>
      </c>
      <c r="D72">
        <v>12</v>
      </c>
      <c r="E72">
        <v>1</v>
      </c>
      <c r="F72">
        <v>30.938095238095229</v>
      </c>
      <c r="G72">
        <v>0</v>
      </c>
      <c r="H72">
        <v>1.6162740412329659</v>
      </c>
      <c r="I72">
        <v>0.1703755277559266</v>
      </c>
      <c r="J72">
        <v>36.989999999999988</v>
      </c>
      <c r="K72">
        <v>0.63563561349687625</v>
      </c>
      <c r="L72">
        <v>0</v>
      </c>
      <c r="M72">
        <v>-4.8912835919399031E-2</v>
      </c>
      <c r="N72">
        <v>4.1658308823725683E-2</v>
      </c>
      <c r="O72" t="s">
        <v>42</v>
      </c>
      <c r="P72">
        <v>2.899999999999999</v>
      </c>
      <c r="Q72">
        <v>0.19441340782122901</v>
      </c>
      <c r="R72">
        <v>30.06428571428577</v>
      </c>
      <c r="S72">
        <v>0.12194008428963291</v>
      </c>
      <c r="T72">
        <v>15.27797946896859</v>
      </c>
      <c r="U72">
        <v>1.796379749997943</v>
      </c>
      <c r="V72">
        <v>9.5358705816405397E-3</v>
      </c>
      <c r="W72">
        <v>0.12782860419542649</v>
      </c>
      <c r="X72">
        <v>2.0999999999999999E-3</v>
      </c>
      <c r="Y72">
        <v>2.0999999999999999E-3</v>
      </c>
      <c r="Z72">
        <v>15.15569778710702</v>
      </c>
      <c r="AA72">
        <v>0</v>
      </c>
      <c r="AB72">
        <v>1.1798490826378421E-3</v>
      </c>
      <c r="AC72">
        <v>3.6502283285228837E-2</v>
      </c>
      <c r="AD72">
        <v>2.7397262146179112E-3</v>
      </c>
      <c r="AE72">
        <v>4.1857480857527468E-2</v>
      </c>
      <c r="AH72">
        <f t="shared" si="7"/>
        <v>0.96666666666667034</v>
      </c>
      <c r="AN72">
        <v>0.96666666666667034</v>
      </c>
    </row>
    <row r="73" spans="1:40" x14ac:dyDescent="0.35">
      <c r="A73" t="s">
        <v>40</v>
      </c>
      <c r="B73" t="s">
        <v>41</v>
      </c>
      <c r="C73">
        <v>13</v>
      </c>
      <c r="D73">
        <v>13</v>
      </c>
      <c r="E73">
        <v>1</v>
      </c>
      <c r="F73">
        <v>31.509523809523898</v>
      </c>
      <c r="G73">
        <v>0</v>
      </c>
      <c r="H73">
        <v>1.577729180271626</v>
      </c>
      <c r="I73">
        <v>0.20364321310666419</v>
      </c>
      <c r="J73">
        <v>36.93</v>
      </c>
      <c r="K73">
        <v>0.52344164988367703</v>
      </c>
      <c r="L73">
        <v>0</v>
      </c>
      <c r="M73">
        <v>-7.6085619058224807E-2</v>
      </c>
      <c r="N73">
        <v>2.644268170410265E-2</v>
      </c>
      <c r="O73" t="s">
        <v>42</v>
      </c>
      <c r="P73">
        <v>3.899999999999999</v>
      </c>
      <c r="Q73">
        <v>0.26145251396648028</v>
      </c>
      <c r="R73">
        <v>30.938095238095229</v>
      </c>
      <c r="S73">
        <v>0.1703755277559266</v>
      </c>
      <c r="T73">
        <v>15.407176422470149</v>
      </c>
      <c r="U73">
        <v>1.798504749997943</v>
      </c>
      <c r="V73">
        <v>9.669531246993858E-3</v>
      </c>
      <c r="W73">
        <v>0.1305618575696002</v>
      </c>
      <c r="X73">
        <v>2.15E-3</v>
      </c>
      <c r="Y73">
        <v>2.15E-3</v>
      </c>
      <c r="Z73">
        <v>15.27797946896859</v>
      </c>
      <c r="AA73">
        <v>0</v>
      </c>
      <c r="AB73">
        <v>5.2752417634077816E-4</v>
      </c>
      <c r="AC73">
        <v>1.662203559450923E-2</v>
      </c>
      <c r="AD73">
        <v>1.732058081469855E-3</v>
      </c>
      <c r="AE73">
        <v>2.6686124435171231E-2</v>
      </c>
      <c r="AH73">
        <f t="shared" si="7"/>
        <v>1</v>
      </c>
      <c r="AN73">
        <v>0.96666666666666856</v>
      </c>
    </row>
    <row r="74" spans="1:40" x14ac:dyDescent="0.35">
      <c r="A74" t="s">
        <v>40</v>
      </c>
      <c r="B74" t="s">
        <v>41</v>
      </c>
      <c r="C74">
        <v>14.05</v>
      </c>
      <c r="D74">
        <v>14.05</v>
      </c>
      <c r="E74">
        <v>1</v>
      </c>
      <c r="F74">
        <v>31.732142857142811</v>
      </c>
      <c r="G74">
        <v>0</v>
      </c>
      <c r="H74">
        <v>1.453026453484962</v>
      </c>
      <c r="I74">
        <v>0.22207231335763011</v>
      </c>
      <c r="J74">
        <v>36.96</v>
      </c>
      <c r="K74">
        <v>0.98283448648383342</v>
      </c>
      <c r="L74">
        <v>0</v>
      </c>
      <c r="M74">
        <v>-7.8267624288052701E-2</v>
      </c>
      <c r="N74">
        <v>1.014890483459153E-2</v>
      </c>
      <c r="O74" t="s">
        <v>42</v>
      </c>
      <c r="P74">
        <v>4.9499999999999993</v>
      </c>
      <c r="Q74">
        <v>0.3318435754189944</v>
      </c>
      <c r="R74">
        <v>31.509523809523898</v>
      </c>
      <c r="S74">
        <v>0.20364321310666419</v>
      </c>
      <c r="T74">
        <v>15.54576471838671</v>
      </c>
      <c r="U74">
        <v>1.800789812497944</v>
      </c>
      <c r="V74">
        <v>9.8049284600102236E-3</v>
      </c>
      <c r="W74">
        <v>0.1334114833690572</v>
      </c>
      <c r="X74">
        <v>2.2025E-3</v>
      </c>
      <c r="Y74">
        <v>2.2025E-3</v>
      </c>
      <c r="Z74">
        <v>15.407176422470149</v>
      </c>
      <c r="AA74">
        <v>0</v>
      </c>
      <c r="AB74">
        <v>0</v>
      </c>
      <c r="AC74">
        <v>0</v>
      </c>
      <c r="AD74">
        <v>6.7031220365871972E-4</v>
      </c>
      <c r="AE74">
        <v>1.042051580594177E-2</v>
      </c>
      <c r="AH74">
        <f t="shared" si="7"/>
        <v>1.0500000000000007</v>
      </c>
      <c r="AN74">
        <v>0.96666666666666501</v>
      </c>
    </row>
    <row r="75" spans="1:40" x14ac:dyDescent="0.35">
      <c r="A75" t="s">
        <v>40</v>
      </c>
      <c r="B75" t="s">
        <v>41</v>
      </c>
      <c r="C75">
        <v>14.91666666666667</v>
      </c>
      <c r="D75">
        <v>14.91666666666667</v>
      </c>
      <c r="E75">
        <v>1</v>
      </c>
      <c r="F75">
        <v>33.223809523809493</v>
      </c>
      <c r="G75">
        <v>0</v>
      </c>
      <c r="H75">
        <v>1.4192991288427219</v>
      </c>
      <c r="I75">
        <v>0.22571830205693391</v>
      </c>
      <c r="J75">
        <v>36.975000000000001</v>
      </c>
      <c r="K75">
        <v>2.4035456434525528</v>
      </c>
      <c r="L75">
        <v>0</v>
      </c>
      <c r="M75">
        <v>-2.810799383637264E-3</v>
      </c>
      <c r="N75">
        <v>0</v>
      </c>
      <c r="O75" t="s">
        <v>42</v>
      </c>
      <c r="P75">
        <v>5.8166666666666664</v>
      </c>
      <c r="Q75">
        <v>0.38994413407821232</v>
      </c>
      <c r="R75">
        <v>31.732142857142811</v>
      </c>
      <c r="S75">
        <v>0.22207231335763011</v>
      </c>
      <c r="T75">
        <v>15.662400506004341</v>
      </c>
      <c r="U75">
        <v>1.8027174236090551</v>
      </c>
      <c r="V75">
        <v>9.9127680323290619E-3</v>
      </c>
      <c r="W75">
        <v>0.1357454552760376</v>
      </c>
      <c r="X75">
        <v>2.2458333333333332E-3</v>
      </c>
      <c r="Y75">
        <v>2.2458333333333332E-3</v>
      </c>
      <c r="Z75">
        <v>15.54576471838671</v>
      </c>
      <c r="AA75">
        <v>7.0363657591094558E-2</v>
      </c>
      <c r="AB75">
        <v>0</v>
      </c>
      <c r="AC75">
        <v>0</v>
      </c>
      <c r="AD75">
        <v>1.7953879939615908E-5</v>
      </c>
      <c r="AE75">
        <v>2.8120085825098141E-4</v>
      </c>
      <c r="AH75">
        <f t="shared" si="7"/>
        <v>0.86666666666666892</v>
      </c>
      <c r="AN75">
        <v>0.93333333333333002</v>
      </c>
    </row>
    <row r="76" spans="1:40" x14ac:dyDescent="0.35">
      <c r="A76" t="s">
        <v>43</v>
      </c>
      <c r="B76" t="s">
        <v>44</v>
      </c>
      <c r="C76">
        <v>0</v>
      </c>
      <c r="D76">
        <v>0</v>
      </c>
      <c r="E76">
        <v>0</v>
      </c>
      <c r="F76">
        <v>0.21071428571431811</v>
      </c>
      <c r="G76">
        <v>8.1</v>
      </c>
      <c r="H76">
        <v>1.7478400000000001</v>
      </c>
      <c r="I76">
        <v>0</v>
      </c>
      <c r="J76">
        <v>37.064999999999998</v>
      </c>
      <c r="K76">
        <v>0.46016232763221782</v>
      </c>
      <c r="L76">
        <v>-1.6917035976072099</v>
      </c>
      <c r="M76">
        <v>-3.5125958378970479E-2</v>
      </c>
      <c r="N76">
        <v>0</v>
      </c>
      <c r="O76" t="s">
        <v>45</v>
      </c>
      <c r="P76">
        <v>-12</v>
      </c>
      <c r="Q76">
        <v>-0.25568181818181818</v>
      </c>
      <c r="R76">
        <v>0.21071428571431811</v>
      </c>
      <c r="S76">
        <v>0</v>
      </c>
      <c r="T76">
        <v>0.21071428571431811</v>
      </c>
      <c r="U76">
        <v>1.7478400000000001</v>
      </c>
      <c r="V76">
        <v>0.86978671051811196</v>
      </c>
      <c r="W76">
        <v>0.1832764854306303</v>
      </c>
      <c r="X76">
        <v>0</v>
      </c>
      <c r="Y76">
        <v>0</v>
      </c>
      <c r="Z76">
        <v>0.21071428571431811</v>
      </c>
      <c r="AA76">
        <v>2.1637244344946529</v>
      </c>
      <c r="AB76">
        <v>0</v>
      </c>
      <c r="AC76">
        <v>0</v>
      </c>
      <c r="AD76">
        <v>0</v>
      </c>
      <c r="AE76">
        <v>0</v>
      </c>
      <c r="AN76">
        <v>0.9166666666666714</v>
      </c>
    </row>
    <row r="77" spans="1:40" x14ac:dyDescent="0.35">
      <c r="A77" t="s">
        <v>43</v>
      </c>
      <c r="B77" t="s">
        <v>44</v>
      </c>
      <c r="C77">
        <v>0.65000000000000036</v>
      </c>
      <c r="D77">
        <v>0.65000000000000036</v>
      </c>
      <c r="E77">
        <v>0</v>
      </c>
      <c r="F77">
        <v>0.46547619047622651</v>
      </c>
      <c r="G77">
        <v>7.2039999999999997</v>
      </c>
      <c r="H77">
        <v>1.72834</v>
      </c>
      <c r="I77">
        <v>0</v>
      </c>
      <c r="J77">
        <v>36.989999999999988</v>
      </c>
      <c r="K77">
        <v>0.2371312481393302</v>
      </c>
      <c r="L77">
        <v>-0.93177985360882376</v>
      </c>
      <c r="M77">
        <v>-2.032070808688391E-2</v>
      </c>
      <c r="N77">
        <v>0</v>
      </c>
      <c r="O77" t="s">
        <v>45</v>
      </c>
      <c r="P77">
        <v>-11.35</v>
      </c>
      <c r="Q77">
        <v>-0.2418323863636363</v>
      </c>
      <c r="R77">
        <v>0.21071428571431811</v>
      </c>
      <c r="S77">
        <v>0</v>
      </c>
      <c r="T77">
        <v>0.37087471030978691</v>
      </c>
      <c r="U77">
        <v>1.7478400000000001</v>
      </c>
      <c r="V77">
        <v>0.86978607883122738</v>
      </c>
      <c r="W77">
        <v>0.32258166001801691</v>
      </c>
      <c r="X77">
        <v>0</v>
      </c>
      <c r="Y77">
        <v>0</v>
      </c>
      <c r="Z77">
        <v>0.21071428571431811</v>
      </c>
      <c r="AA77">
        <v>0.4976806198790853</v>
      </c>
      <c r="AB77">
        <v>0</v>
      </c>
      <c r="AC77">
        <v>0</v>
      </c>
      <c r="AD77">
        <v>0</v>
      </c>
      <c r="AE77">
        <v>0</v>
      </c>
      <c r="AF77">
        <f>C77-C76</f>
        <v>0.65000000000000036</v>
      </c>
      <c r="AN77">
        <v>0.88333333333332931</v>
      </c>
    </row>
    <row r="78" spans="1:40" x14ac:dyDescent="0.35">
      <c r="A78" t="s">
        <v>43</v>
      </c>
      <c r="B78" t="s">
        <v>44</v>
      </c>
      <c r="C78">
        <v>1.383333333333332</v>
      </c>
      <c r="D78">
        <v>1.383333333333332</v>
      </c>
      <c r="E78">
        <v>0</v>
      </c>
      <c r="F78">
        <v>0.64642857142860333</v>
      </c>
      <c r="G78">
        <v>6.6820000000000004</v>
      </c>
      <c r="H78">
        <v>1.71434</v>
      </c>
      <c r="I78">
        <v>0</v>
      </c>
      <c r="J78">
        <v>36.989999999999988</v>
      </c>
      <c r="K78">
        <v>0.42252472587667628</v>
      </c>
      <c r="L78">
        <v>-1.2599766682387541</v>
      </c>
      <c r="M78">
        <v>-1.7518973656031681E-2</v>
      </c>
      <c r="N78">
        <v>0</v>
      </c>
      <c r="O78" t="s">
        <v>45</v>
      </c>
      <c r="P78">
        <v>-10.616666666666671</v>
      </c>
      <c r="Q78">
        <v>-0.22620738636363641</v>
      </c>
      <c r="R78">
        <v>0.46547619047622651</v>
      </c>
      <c r="S78">
        <v>0</v>
      </c>
      <c r="T78">
        <v>0.70184104200634267</v>
      </c>
      <c r="U78">
        <v>1.7478400000000001</v>
      </c>
      <c r="V78">
        <v>0.86978456247945246</v>
      </c>
      <c r="W78">
        <v>0.6104505036516098</v>
      </c>
      <c r="X78">
        <v>0</v>
      </c>
      <c r="Y78">
        <v>0</v>
      </c>
      <c r="Z78">
        <v>0.37087471030978691</v>
      </c>
      <c r="AA78">
        <v>0.64341033250070623</v>
      </c>
      <c r="AB78">
        <v>0</v>
      </c>
      <c r="AC78">
        <v>0</v>
      </c>
      <c r="AD78">
        <v>0</v>
      </c>
      <c r="AE78">
        <v>0</v>
      </c>
      <c r="AF78">
        <f>C78-C77</f>
        <v>0.73333333333333162</v>
      </c>
      <c r="AN78">
        <v>0.88333333333332931</v>
      </c>
    </row>
    <row r="79" spans="1:40" x14ac:dyDescent="0.35">
      <c r="A79" t="s">
        <v>43</v>
      </c>
      <c r="B79" t="s">
        <v>44</v>
      </c>
      <c r="C79">
        <v>2.15</v>
      </c>
      <c r="D79">
        <v>2.15</v>
      </c>
      <c r="E79">
        <v>0</v>
      </c>
      <c r="F79">
        <v>1.1750000000000049</v>
      </c>
      <c r="G79">
        <v>5.73</v>
      </c>
      <c r="H79">
        <v>1.70479</v>
      </c>
      <c r="I79">
        <v>0</v>
      </c>
      <c r="J79">
        <v>37.005000000000003</v>
      </c>
      <c r="K79">
        <v>0.84298542179590796</v>
      </c>
      <c r="L79">
        <v>-2.0171978225926099</v>
      </c>
      <c r="M79">
        <v>-1.4927315538017089E-2</v>
      </c>
      <c r="N79">
        <v>0</v>
      </c>
      <c r="O79" t="s">
        <v>45</v>
      </c>
      <c r="P79">
        <v>-9.85</v>
      </c>
      <c r="Q79">
        <v>-0.20987215909090909</v>
      </c>
      <c r="R79">
        <v>0.64642857142860333</v>
      </c>
      <c r="S79">
        <v>0</v>
      </c>
      <c r="T79">
        <v>1.367227754660794</v>
      </c>
      <c r="U79">
        <v>1.7478400000000001</v>
      </c>
      <c r="V79">
        <v>0.86978023402547544</v>
      </c>
      <c r="W79">
        <v>1.1891876764149909</v>
      </c>
      <c r="X79">
        <v>0</v>
      </c>
      <c r="Y79">
        <v>0</v>
      </c>
      <c r="Z79">
        <v>0.70184104200634267</v>
      </c>
      <c r="AA79">
        <v>0.70867829928826043</v>
      </c>
      <c r="AB79">
        <v>0</v>
      </c>
      <c r="AC79">
        <v>0</v>
      </c>
      <c r="AD79">
        <v>0</v>
      </c>
      <c r="AE79">
        <v>0</v>
      </c>
      <c r="AF79">
        <f>C79-C78</f>
        <v>0.76666666666666794</v>
      </c>
      <c r="AN79">
        <v>0.86666666666666892</v>
      </c>
    </row>
    <row r="80" spans="1:40" x14ac:dyDescent="0.35">
      <c r="A80" t="s">
        <v>43</v>
      </c>
      <c r="B80" t="s">
        <v>44</v>
      </c>
      <c r="C80">
        <v>2.7333333333333321</v>
      </c>
      <c r="D80">
        <v>2.7333333333333321</v>
      </c>
      <c r="E80">
        <v>0</v>
      </c>
      <c r="F80">
        <v>1.7964285714286039</v>
      </c>
      <c r="G80">
        <v>4.2699999999999996</v>
      </c>
      <c r="H80">
        <v>1.697876593044036</v>
      </c>
      <c r="I80">
        <v>0</v>
      </c>
      <c r="J80">
        <v>37.034999999999997</v>
      </c>
      <c r="K80">
        <v>1.2831835042020121</v>
      </c>
      <c r="L80">
        <v>-2.5245986698759122</v>
      </c>
      <c r="M80">
        <v>-1.0497992750598329E-2</v>
      </c>
      <c r="N80">
        <v>0</v>
      </c>
      <c r="O80" t="s">
        <v>45</v>
      </c>
      <c r="P80">
        <v>-9.2666666666666693</v>
      </c>
      <c r="Q80">
        <v>-0.19744318181818191</v>
      </c>
      <c r="R80">
        <v>1.1750000000000049</v>
      </c>
      <c r="S80">
        <v>0</v>
      </c>
      <c r="T80">
        <v>2.2708501101109442</v>
      </c>
      <c r="U80">
        <v>1.7478400000000001</v>
      </c>
      <c r="V80">
        <v>0.86976807951014701</v>
      </c>
      <c r="W80">
        <v>1.975112939126602</v>
      </c>
      <c r="X80">
        <v>0</v>
      </c>
      <c r="Y80">
        <v>0</v>
      </c>
      <c r="Z80">
        <v>1.367227754660794</v>
      </c>
      <c r="AA80">
        <v>0.70811396764497414</v>
      </c>
      <c r="AB80">
        <v>0</v>
      </c>
      <c r="AC80">
        <v>0</v>
      </c>
      <c r="AD80">
        <v>0</v>
      </c>
      <c r="AE80">
        <v>0</v>
      </c>
      <c r="AF80">
        <f>C80-C79</f>
        <v>0.58333333333333215</v>
      </c>
      <c r="AN80">
        <v>0.86666666666666714</v>
      </c>
    </row>
    <row r="81" spans="1:40" x14ac:dyDescent="0.35">
      <c r="A81" t="s">
        <v>43</v>
      </c>
      <c r="B81" t="s">
        <v>44</v>
      </c>
      <c r="C81">
        <v>3.633333333333332</v>
      </c>
      <c r="D81">
        <v>3.633333333333332</v>
      </c>
      <c r="E81">
        <v>0</v>
      </c>
      <c r="F81">
        <v>3.449999999999922</v>
      </c>
      <c r="G81">
        <v>1.4570000000000001</v>
      </c>
      <c r="H81">
        <v>1.6964836105604491</v>
      </c>
      <c r="I81">
        <v>0</v>
      </c>
      <c r="J81">
        <v>37.034999999999997</v>
      </c>
      <c r="K81">
        <v>1.9393631684142341</v>
      </c>
      <c r="L81">
        <v>-2.3504322792102621</v>
      </c>
      <c r="M81">
        <v>1.9942631176147019E-3</v>
      </c>
      <c r="N81">
        <v>0</v>
      </c>
      <c r="O81" t="s">
        <v>45</v>
      </c>
      <c r="P81">
        <v>-8.3666666666666671</v>
      </c>
      <c r="Q81">
        <v>-0.17826704545454539</v>
      </c>
      <c r="R81">
        <v>1.7964285714286039</v>
      </c>
      <c r="S81">
        <v>0</v>
      </c>
      <c r="T81">
        <v>3.7402892857147041</v>
      </c>
      <c r="U81">
        <v>1.7478400000000001</v>
      </c>
      <c r="V81">
        <v>0</v>
      </c>
      <c r="W81">
        <v>0</v>
      </c>
      <c r="X81">
        <v>0</v>
      </c>
      <c r="Y81">
        <v>0</v>
      </c>
      <c r="Z81">
        <v>2.2708501101109442</v>
      </c>
      <c r="AA81">
        <v>0.56330977920255443</v>
      </c>
      <c r="AB81">
        <v>0</v>
      </c>
      <c r="AC81">
        <v>0</v>
      </c>
      <c r="AD81">
        <v>0</v>
      </c>
      <c r="AE81">
        <v>0</v>
      </c>
      <c r="AF81">
        <f>C81-C80</f>
        <v>0.89999999999999991</v>
      </c>
      <c r="AN81">
        <v>0.73333333333333073</v>
      </c>
    </row>
    <row r="82" spans="1:40" x14ac:dyDescent="0.35">
      <c r="A82" t="s">
        <v>43</v>
      </c>
      <c r="B82" t="s">
        <v>44</v>
      </c>
      <c r="C82">
        <v>4.5833333333333348</v>
      </c>
      <c r="D82">
        <v>4.5833333333333348</v>
      </c>
      <c r="E82">
        <v>0</v>
      </c>
      <c r="F82">
        <v>5.4178571428571098</v>
      </c>
      <c r="G82">
        <v>0</v>
      </c>
      <c r="H82">
        <v>1.7065030488878601</v>
      </c>
      <c r="I82">
        <v>0</v>
      </c>
      <c r="J82">
        <v>37.020000000000003</v>
      </c>
      <c r="K82">
        <v>2.4604266225325881</v>
      </c>
      <c r="L82">
        <v>-0.77351029748283351</v>
      </c>
      <c r="M82">
        <v>2.1228199314402261E-2</v>
      </c>
      <c r="N82">
        <v>0</v>
      </c>
      <c r="O82" t="s">
        <v>45</v>
      </c>
      <c r="P82">
        <v>-7.4166666666666652</v>
      </c>
      <c r="Q82">
        <v>-0.15802556818181809</v>
      </c>
      <c r="R82">
        <v>3.449999999999922</v>
      </c>
      <c r="S82">
        <v>0</v>
      </c>
      <c r="T82">
        <v>5.7806842026154781</v>
      </c>
      <c r="U82">
        <v>1.7778497222095151</v>
      </c>
      <c r="V82">
        <v>0.5739981606752006</v>
      </c>
      <c r="W82">
        <v>3.1641976111720069</v>
      </c>
      <c r="X82">
        <v>4.7333333333333352E-2</v>
      </c>
      <c r="Y82">
        <v>4.7333333333333352E-2</v>
      </c>
      <c r="Z82">
        <v>3.7402892857147041</v>
      </c>
      <c r="AA82">
        <v>0.46657238844742249</v>
      </c>
      <c r="AB82">
        <v>0</v>
      </c>
      <c r="AC82">
        <v>0</v>
      </c>
      <c r="AD82">
        <v>0</v>
      </c>
      <c r="AE82">
        <v>0</v>
      </c>
      <c r="AG82">
        <f t="shared" ref="AG82:AG83" si="8">C82-C81</f>
        <v>0.95000000000000284</v>
      </c>
      <c r="AN82">
        <v>0.70000000000000107</v>
      </c>
    </row>
    <row r="83" spans="1:40" x14ac:dyDescent="0.35">
      <c r="A83" t="s">
        <v>43</v>
      </c>
      <c r="B83" t="s">
        <v>44</v>
      </c>
      <c r="C83">
        <v>5.55</v>
      </c>
      <c r="D83">
        <v>5.55</v>
      </c>
      <c r="E83">
        <v>0</v>
      </c>
      <c r="F83">
        <v>7.6392857142857213</v>
      </c>
      <c r="G83">
        <v>0</v>
      </c>
      <c r="H83">
        <v>1.7381728028968171</v>
      </c>
      <c r="I83">
        <v>0</v>
      </c>
      <c r="J83">
        <v>36.989999999999988</v>
      </c>
      <c r="K83">
        <v>3.3136663086812499</v>
      </c>
      <c r="L83">
        <v>0</v>
      </c>
      <c r="M83">
        <v>4.5416790896813851E-2</v>
      </c>
      <c r="N83">
        <v>0</v>
      </c>
      <c r="O83" t="s">
        <v>45</v>
      </c>
      <c r="P83">
        <v>-6.45</v>
      </c>
      <c r="Q83">
        <v>-0.13742897727272729</v>
      </c>
      <c r="R83">
        <v>5.4178571428571098</v>
      </c>
      <c r="S83">
        <v>0</v>
      </c>
      <c r="T83">
        <v>9.0586984319122816</v>
      </c>
      <c r="U83">
        <v>1.8282774999872919</v>
      </c>
      <c r="V83">
        <v>0.42891685971774729</v>
      </c>
      <c r="W83">
        <v>3.603006472229612</v>
      </c>
      <c r="X83">
        <v>5.7000000000000002E-2</v>
      </c>
      <c r="Y83">
        <v>5.7000000000000002E-2</v>
      </c>
      <c r="Z83">
        <v>5.7806842026154781</v>
      </c>
      <c r="AA83">
        <v>0.45989555313837549</v>
      </c>
      <c r="AB83">
        <v>0</v>
      </c>
      <c r="AC83">
        <v>0</v>
      </c>
      <c r="AD83">
        <v>0</v>
      </c>
      <c r="AE83">
        <v>0</v>
      </c>
      <c r="AG83">
        <f t="shared" si="8"/>
        <v>0.96666666666666501</v>
      </c>
      <c r="AN83">
        <v>0.59999999999999787</v>
      </c>
    </row>
    <row r="84" spans="1:40" x14ac:dyDescent="0.35">
      <c r="A84" t="s">
        <v>43</v>
      </c>
      <c r="B84" t="s">
        <v>44</v>
      </c>
      <c r="C84">
        <v>6.1833333333333336</v>
      </c>
      <c r="D84">
        <v>6.1833333333333336</v>
      </c>
      <c r="E84">
        <v>0</v>
      </c>
      <c r="F84">
        <v>9.8571428571428825</v>
      </c>
      <c r="G84">
        <v>0</v>
      </c>
      <c r="H84">
        <v>1.766735910458316</v>
      </c>
      <c r="I84">
        <v>0</v>
      </c>
      <c r="J84">
        <v>37.034999999999997</v>
      </c>
      <c r="K84">
        <v>3.9420875775318112</v>
      </c>
      <c r="L84">
        <v>0</v>
      </c>
      <c r="M84">
        <v>6.3711033652669502E-2</v>
      </c>
      <c r="N84">
        <v>0</v>
      </c>
      <c r="O84" t="s">
        <v>45</v>
      </c>
      <c r="P84">
        <v>-5.8166666666666664</v>
      </c>
      <c r="Q84">
        <v>-0.1239346590909091</v>
      </c>
      <c r="R84">
        <v>7.6392857142857213</v>
      </c>
      <c r="S84">
        <v>0</v>
      </c>
      <c r="T84">
        <v>11.41819282221185</v>
      </c>
      <c r="U84">
        <v>1.866383055542848</v>
      </c>
      <c r="V84">
        <v>0.37037272682486322</v>
      </c>
      <c r="W84">
        <v>3.8415253713883382</v>
      </c>
      <c r="X84">
        <v>6.3333333333333339E-2</v>
      </c>
      <c r="Y84">
        <v>6.3333333333333339E-2</v>
      </c>
      <c r="Z84">
        <v>9.0586984319122816</v>
      </c>
      <c r="AA84">
        <v>0.43598336397924198</v>
      </c>
      <c r="AB84">
        <v>0</v>
      </c>
      <c r="AC84">
        <v>0</v>
      </c>
      <c r="AD84">
        <v>0</v>
      </c>
      <c r="AE84">
        <v>0</v>
      </c>
      <c r="AG84">
        <f>C84-C83</f>
        <v>0.63333333333333375</v>
      </c>
    </row>
    <row r="85" spans="1:40" x14ac:dyDescent="0.35">
      <c r="A85" t="s">
        <v>43</v>
      </c>
      <c r="B85" t="s">
        <v>44</v>
      </c>
      <c r="C85">
        <v>7.4499999999999984</v>
      </c>
      <c r="D85">
        <v>7.4499999999999984</v>
      </c>
      <c r="E85">
        <v>0</v>
      </c>
      <c r="F85">
        <v>15.671428571428461</v>
      </c>
      <c r="G85">
        <v>0</v>
      </c>
      <c r="H85">
        <v>1.865145405274389</v>
      </c>
      <c r="I85">
        <v>0</v>
      </c>
      <c r="J85">
        <v>36.989999999999988</v>
      </c>
      <c r="K85">
        <v>4.0815726469438118</v>
      </c>
      <c r="L85">
        <v>0</v>
      </c>
      <c r="M85">
        <v>0.10660720232166231</v>
      </c>
      <c r="N85">
        <v>0</v>
      </c>
      <c r="O85" t="s">
        <v>45</v>
      </c>
      <c r="P85">
        <v>-4.5500000000000016</v>
      </c>
      <c r="Q85">
        <v>-9.6946022727272749E-2</v>
      </c>
      <c r="R85">
        <v>9.8571428571428825</v>
      </c>
      <c r="S85">
        <v>0</v>
      </c>
      <c r="T85">
        <v>16.52906368490957</v>
      </c>
      <c r="U85">
        <v>1.9546274999872919</v>
      </c>
      <c r="V85">
        <v>0.29316037390757782</v>
      </c>
      <c r="W85">
        <v>4.2029819684477738</v>
      </c>
      <c r="X85">
        <v>7.5999999999999984E-2</v>
      </c>
      <c r="Y85">
        <v>7.5999999999999984E-2</v>
      </c>
      <c r="Z85">
        <v>11.41819282221185</v>
      </c>
      <c r="AA85">
        <v>0.31760433295928447</v>
      </c>
      <c r="AB85">
        <v>0</v>
      </c>
      <c r="AC85">
        <v>0</v>
      </c>
      <c r="AD85">
        <v>0</v>
      </c>
      <c r="AE85">
        <v>0</v>
      </c>
      <c r="AG85">
        <f t="shared" ref="AG85:AG90" si="9">C85-C84</f>
        <v>1.2666666666666648</v>
      </c>
    </row>
    <row r="86" spans="1:40" x14ac:dyDescent="0.35">
      <c r="A86" t="s">
        <v>43</v>
      </c>
      <c r="B86" t="s">
        <v>44</v>
      </c>
      <c r="C86">
        <v>8.3500000000000014</v>
      </c>
      <c r="D86">
        <v>8.3500000000000014</v>
      </c>
      <c r="E86">
        <v>0</v>
      </c>
      <c r="F86">
        <v>19.332142857142941</v>
      </c>
      <c r="G86">
        <v>0</v>
      </c>
      <c r="H86">
        <v>1.98159668972327</v>
      </c>
      <c r="I86">
        <v>0</v>
      </c>
      <c r="J86">
        <v>36.93</v>
      </c>
      <c r="K86">
        <v>2.998920864619175</v>
      </c>
      <c r="L86">
        <v>0</v>
      </c>
      <c r="M86">
        <v>0.1318708068807411</v>
      </c>
      <c r="N86">
        <v>0</v>
      </c>
      <c r="O86" t="s">
        <v>45</v>
      </c>
      <c r="P86">
        <v>-3.649999999999999</v>
      </c>
      <c r="Q86">
        <v>-7.7769886363636326E-2</v>
      </c>
      <c r="R86">
        <v>15.671428571428461</v>
      </c>
      <c r="S86">
        <v>0</v>
      </c>
      <c r="T86">
        <v>20.392518482227661</v>
      </c>
      <c r="U86">
        <v>2.0270774999872931</v>
      </c>
      <c r="V86">
        <v>0.25626035666962399</v>
      </c>
      <c r="W86">
        <v>4.3706890767348607</v>
      </c>
      <c r="X86">
        <v>8.500000000000002E-2</v>
      </c>
      <c r="Y86">
        <v>8.500000000000002E-2</v>
      </c>
      <c r="Z86">
        <v>16.52906368490957</v>
      </c>
      <c r="AA86">
        <v>0.22167390146147009</v>
      </c>
      <c r="AB86">
        <v>0</v>
      </c>
      <c r="AC86">
        <v>0</v>
      </c>
      <c r="AD86">
        <v>0</v>
      </c>
      <c r="AE86">
        <v>0</v>
      </c>
      <c r="AG86">
        <f t="shared" si="9"/>
        <v>0.90000000000000302</v>
      </c>
    </row>
    <row r="87" spans="1:40" x14ac:dyDescent="0.35">
      <c r="A87" t="s">
        <v>43</v>
      </c>
      <c r="B87" t="s">
        <v>44</v>
      </c>
      <c r="C87">
        <v>9.3500000000000014</v>
      </c>
      <c r="D87">
        <v>9.3500000000000014</v>
      </c>
      <c r="E87">
        <v>0</v>
      </c>
      <c r="F87">
        <v>21.167857142857201</v>
      </c>
      <c r="G87">
        <v>0</v>
      </c>
      <c r="H87">
        <v>2.1349713320189352</v>
      </c>
      <c r="I87">
        <v>0</v>
      </c>
      <c r="J87">
        <v>36.989999999999988</v>
      </c>
      <c r="K87">
        <v>1.841254069296949</v>
      </c>
      <c r="L87">
        <v>0</v>
      </c>
      <c r="M87">
        <v>0.11730161447235291</v>
      </c>
      <c r="N87">
        <v>0</v>
      </c>
      <c r="O87" t="s">
        <v>45</v>
      </c>
      <c r="P87">
        <v>-2.649999999999999</v>
      </c>
      <c r="Q87">
        <v>-5.6463068181818149E-2</v>
      </c>
      <c r="R87">
        <v>19.332142857142941</v>
      </c>
      <c r="S87">
        <v>0</v>
      </c>
      <c r="T87">
        <v>23.317669486695578</v>
      </c>
      <c r="U87">
        <v>2.0856072499847418</v>
      </c>
      <c r="V87">
        <v>1.0215539473074761E-2</v>
      </c>
      <c r="W87">
        <v>0.2005250351785432</v>
      </c>
      <c r="X87">
        <v>3.370000000000001E-3</v>
      </c>
      <c r="Y87">
        <v>3.370000000000001E-3</v>
      </c>
      <c r="Z87">
        <v>20.392518482227661</v>
      </c>
      <c r="AA87">
        <v>0.1419264349539861</v>
      </c>
      <c r="AB87">
        <v>0</v>
      </c>
      <c r="AC87">
        <v>0</v>
      </c>
      <c r="AD87">
        <v>0</v>
      </c>
      <c r="AE87">
        <v>0</v>
      </c>
      <c r="AG87">
        <f t="shared" si="9"/>
        <v>1</v>
      </c>
    </row>
    <row r="88" spans="1:40" x14ac:dyDescent="0.35">
      <c r="A88" t="s">
        <v>43</v>
      </c>
      <c r="B88" t="s">
        <v>44</v>
      </c>
      <c r="C88">
        <v>10.5</v>
      </c>
      <c r="D88">
        <v>10.5</v>
      </c>
      <c r="E88">
        <v>0</v>
      </c>
      <c r="F88">
        <v>23.35000000000008</v>
      </c>
      <c r="G88">
        <v>0</v>
      </c>
      <c r="H88">
        <v>2.2178920577094772</v>
      </c>
      <c r="I88">
        <v>0</v>
      </c>
      <c r="J88">
        <v>37.005000000000003</v>
      </c>
      <c r="K88">
        <v>1.170440046488751</v>
      </c>
      <c r="L88">
        <v>0</v>
      </c>
      <c r="M88">
        <v>6.0074997755056467E-2</v>
      </c>
      <c r="N88">
        <v>0</v>
      </c>
      <c r="O88" t="s">
        <v>45</v>
      </c>
      <c r="P88">
        <v>-1.5</v>
      </c>
      <c r="Q88">
        <v>-3.1960227272727272E-2</v>
      </c>
      <c r="R88">
        <v>21.167857142857201</v>
      </c>
      <c r="S88">
        <v>0</v>
      </c>
      <c r="T88">
        <v>23.511969570747869</v>
      </c>
      <c r="U88">
        <v>2.0896149999847431</v>
      </c>
      <c r="V88">
        <v>1.0797759237255551E-2</v>
      </c>
      <c r="W88">
        <v>0.21337003854382031</v>
      </c>
      <c r="X88">
        <v>3.5999999999999999E-3</v>
      </c>
      <c r="Y88">
        <v>3.5999999999999999E-3</v>
      </c>
      <c r="Z88">
        <v>23.317669486695578</v>
      </c>
      <c r="AA88">
        <v>7.7212441152149078E-2</v>
      </c>
      <c r="AB88">
        <v>0</v>
      </c>
      <c r="AC88">
        <v>0</v>
      </c>
      <c r="AD88">
        <v>0</v>
      </c>
      <c r="AE88">
        <v>0</v>
      </c>
      <c r="AG88">
        <f t="shared" si="9"/>
        <v>1.1499999999999986</v>
      </c>
    </row>
    <row r="89" spans="1:40" x14ac:dyDescent="0.35">
      <c r="A89" t="s">
        <v>43</v>
      </c>
      <c r="B89" t="s">
        <v>44</v>
      </c>
      <c r="C89">
        <v>11.91666666666667</v>
      </c>
      <c r="D89">
        <v>11.91666666666667</v>
      </c>
      <c r="E89">
        <v>0</v>
      </c>
      <c r="F89">
        <v>24.49345238095237</v>
      </c>
      <c r="G89">
        <v>0</v>
      </c>
      <c r="H89">
        <v>2.271730325943655</v>
      </c>
      <c r="I89">
        <v>0</v>
      </c>
      <c r="J89">
        <v>36.96</v>
      </c>
      <c r="K89">
        <v>0.66763424028088569</v>
      </c>
      <c r="L89">
        <v>0</v>
      </c>
      <c r="M89">
        <v>1.3545800785590161E-2</v>
      </c>
      <c r="N89">
        <v>4.3318708898200373E-2</v>
      </c>
      <c r="O89" t="s">
        <v>45</v>
      </c>
      <c r="P89">
        <v>-8.3333333333332149E-2</v>
      </c>
      <c r="Q89">
        <v>-1.775568181818156E-3</v>
      </c>
      <c r="R89">
        <v>23.35000000000008</v>
      </c>
      <c r="S89">
        <v>0</v>
      </c>
      <c r="T89">
        <v>23.767811145327592</v>
      </c>
      <c r="U89">
        <v>2.094915694429186</v>
      </c>
      <c r="V89">
        <v>1.1509344341048481E-2</v>
      </c>
      <c r="W89">
        <v>0.22949366607570859</v>
      </c>
      <c r="X89">
        <v>3.8833333333333341E-3</v>
      </c>
      <c r="Y89">
        <v>3.8833333333333341E-3</v>
      </c>
      <c r="Z89">
        <v>23.511969570747869</v>
      </c>
      <c r="AA89">
        <v>3.3220429710890169E-2</v>
      </c>
      <c r="AB89">
        <v>0</v>
      </c>
      <c r="AC89">
        <v>0</v>
      </c>
      <c r="AD89">
        <v>0</v>
      </c>
      <c r="AE89">
        <v>0</v>
      </c>
      <c r="AG89">
        <f t="shared" si="9"/>
        <v>1.4166666666666696</v>
      </c>
    </row>
    <row r="90" spans="1:40" x14ac:dyDescent="0.35">
      <c r="A90" t="s">
        <v>43</v>
      </c>
      <c r="B90" t="s">
        <v>44</v>
      </c>
      <c r="C90">
        <v>12.816666666666659</v>
      </c>
      <c r="D90">
        <v>12.816666666666659</v>
      </c>
      <c r="E90">
        <v>1</v>
      </c>
      <c r="F90">
        <v>25.239285714285639</v>
      </c>
      <c r="G90">
        <v>0</v>
      </c>
      <c r="H90">
        <v>2.278816680963244</v>
      </c>
      <c r="I90">
        <v>6.3754946860762607E-2</v>
      </c>
      <c r="J90">
        <v>31.995000000000001</v>
      </c>
      <c r="K90">
        <v>0.43539590747163909</v>
      </c>
      <c r="L90">
        <v>0</v>
      </c>
      <c r="M90">
        <v>-4.893160721017838E-4</v>
      </c>
      <c r="N90">
        <v>7.4005986333318521E-2</v>
      </c>
      <c r="O90" t="s">
        <v>45</v>
      </c>
      <c r="P90">
        <v>0.81666666666666288</v>
      </c>
      <c r="Q90">
        <v>1.74005681818181E-2</v>
      </c>
      <c r="R90">
        <v>24.49345238095237</v>
      </c>
      <c r="S90">
        <v>0</v>
      </c>
      <c r="T90">
        <v>23.93967898481781</v>
      </c>
      <c r="U90">
        <v>2.0984916944291871</v>
      </c>
      <c r="V90">
        <v>1.007990389195562E-2</v>
      </c>
      <c r="W90">
        <v>0.19495499069535699</v>
      </c>
      <c r="X90">
        <v>4.0633333333333329E-3</v>
      </c>
      <c r="Y90">
        <v>4.0633333333333329E-3</v>
      </c>
      <c r="Z90">
        <v>23.767811145327592</v>
      </c>
      <c r="AA90">
        <v>1.703599848924725E-2</v>
      </c>
      <c r="AB90">
        <v>2.9316319593751818E-3</v>
      </c>
      <c r="AC90">
        <v>7.3992296631801249E-2</v>
      </c>
      <c r="AD90">
        <v>3.0965091808039468E-3</v>
      </c>
      <c r="AE90">
        <v>7.4129435761987661E-2</v>
      </c>
      <c r="AG90">
        <f t="shared" si="9"/>
        <v>0.8999999999999897</v>
      </c>
    </row>
    <row r="91" spans="1:40" x14ac:dyDescent="0.35">
      <c r="A91" t="s">
        <v>43</v>
      </c>
      <c r="B91" t="s">
        <v>44</v>
      </c>
      <c r="C91">
        <v>14.25</v>
      </c>
      <c r="D91">
        <v>14.25</v>
      </c>
      <c r="E91">
        <v>1</v>
      </c>
      <c r="F91">
        <v>24.773214285714261</v>
      </c>
      <c r="G91">
        <v>0</v>
      </c>
      <c r="H91">
        <v>2.248670452497834</v>
      </c>
      <c r="I91">
        <v>0.17162126680263279</v>
      </c>
      <c r="J91">
        <v>32.01</v>
      </c>
      <c r="K91">
        <v>0.1810170901112961</v>
      </c>
      <c r="L91">
        <v>0</v>
      </c>
      <c r="M91">
        <v>-7.6674445792842758E-3</v>
      </c>
      <c r="N91">
        <v>6.5441577948636365E-2</v>
      </c>
      <c r="O91" t="s">
        <v>45</v>
      </c>
      <c r="P91">
        <v>2.249999999999996</v>
      </c>
      <c r="Q91">
        <v>4.7940340909090828E-2</v>
      </c>
      <c r="R91">
        <v>25.239285714285639</v>
      </c>
      <c r="S91">
        <v>6.3754946860762607E-2</v>
      </c>
      <c r="T91">
        <v>24.228145835406821</v>
      </c>
      <c r="U91">
        <v>2.1045212499847432</v>
      </c>
      <c r="V91">
        <v>1.063211162014986E-2</v>
      </c>
      <c r="W91">
        <v>0.20751729636674049</v>
      </c>
      <c r="X91">
        <v>4.3499999999999997E-3</v>
      </c>
      <c r="Y91">
        <v>4.3499999999999997E-3</v>
      </c>
      <c r="Z91">
        <v>23.93967898481781</v>
      </c>
      <c r="AA91">
        <v>3.8972002325916629E-3</v>
      </c>
      <c r="AB91">
        <v>2.618004611547352E-3</v>
      </c>
      <c r="AC91">
        <v>6.4856389242850671E-2</v>
      </c>
      <c r="AD91">
        <v>2.71569751353864E-3</v>
      </c>
      <c r="AE91">
        <v>6.579631540286586E-2</v>
      </c>
      <c r="AH91">
        <f>D91-D90</f>
        <v>1.4333333333333407</v>
      </c>
    </row>
    <row r="92" spans="1:40" x14ac:dyDescent="0.35">
      <c r="A92" t="s">
        <v>43</v>
      </c>
      <c r="B92" t="s">
        <v>44</v>
      </c>
      <c r="C92">
        <v>15.75</v>
      </c>
      <c r="D92">
        <v>15.75</v>
      </c>
      <c r="E92">
        <v>1</v>
      </c>
      <c r="F92">
        <v>25.0285714285714</v>
      </c>
      <c r="G92">
        <v>0</v>
      </c>
      <c r="H92">
        <v>2.2442839073257881</v>
      </c>
      <c r="I92">
        <v>0.25476707204578919</v>
      </c>
      <c r="J92">
        <v>32.01</v>
      </c>
      <c r="K92">
        <v>0.38231455320149232</v>
      </c>
      <c r="L92">
        <v>0</v>
      </c>
      <c r="M92">
        <v>-2.5998794693745551E-3</v>
      </c>
      <c r="N92">
        <v>4.901672183657229E-2</v>
      </c>
      <c r="O92" t="s">
        <v>45</v>
      </c>
      <c r="P92">
        <v>3.75</v>
      </c>
      <c r="Q92">
        <v>7.9900568181818177E-2</v>
      </c>
      <c r="R92">
        <v>24.773214285714261</v>
      </c>
      <c r="S92">
        <v>0.17162126680263279</v>
      </c>
      <c r="T92">
        <v>24.549125569341509</v>
      </c>
      <c r="U92">
        <v>2.111271249984743</v>
      </c>
      <c r="V92">
        <v>1.118090177937685E-2</v>
      </c>
      <c r="W92">
        <v>0.22041278393162941</v>
      </c>
      <c r="X92">
        <v>4.6499999999999996E-3</v>
      </c>
      <c r="Y92">
        <v>4.6499999999999996E-3</v>
      </c>
      <c r="Z92">
        <v>24.228145835406821</v>
      </c>
      <c r="AA92">
        <v>1.4116679843259469E-2</v>
      </c>
      <c r="AB92">
        <v>1.9466387977847199E-3</v>
      </c>
      <c r="AC92">
        <v>4.8721588195983233E-2</v>
      </c>
      <c r="AD92">
        <v>2.019535772512294E-3</v>
      </c>
      <c r="AE92">
        <v>4.9577837271181403E-2</v>
      </c>
      <c r="AH92">
        <f t="shared" ref="AH92:AH102" si="10">D92-D91</f>
        <v>1.5</v>
      </c>
    </row>
    <row r="93" spans="1:40" x14ac:dyDescent="0.35">
      <c r="A93" t="s">
        <v>43</v>
      </c>
      <c r="B93" t="s">
        <v>44</v>
      </c>
      <c r="C93">
        <v>17.75</v>
      </c>
      <c r="D93">
        <v>17.75</v>
      </c>
      <c r="E93">
        <v>1</v>
      </c>
      <c r="F93">
        <v>26.257142857142789</v>
      </c>
      <c r="G93">
        <v>0</v>
      </c>
      <c r="H93">
        <v>2.251576086548178</v>
      </c>
      <c r="I93">
        <v>0.33456300005953832</v>
      </c>
      <c r="J93">
        <v>31.98</v>
      </c>
      <c r="K93">
        <v>0.42880901766213603</v>
      </c>
      <c r="L93">
        <v>0</v>
      </c>
      <c r="M93">
        <v>2.1667854950829998E-3</v>
      </c>
      <c r="N93">
        <v>3.2518345930489301E-2</v>
      </c>
      <c r="O93" t="s">
        <v>45</v>
      </c>
      <c r="P93">
        <v>5.75</v>
      </c>
      <c r="Q93">
        <v>0.1225142045454545</v>
      </c>
      <c r="R93">
        <v>25.0285714285714</v>
      </c>
      <c r="S93">
        <v>0.25476707204578919</v>
      </c>
      <c r="T93">
        <v>25.006807866876549</v>
      </c>
      <c r="U93">
        <v>2.1209712499847431</v>
      </c>
      <c r="V93">
        <v>1.186590939888761E-2</v>
      </c>
      <c r="W93">
        <v>0.2371876907011177</v>
      </c>
      <c r="X93">
        <v>5.0500000000000007E-3</v>
      </c>
      <c r="Y93">
        <v>5.0500000000000007E-3</v>
      </c>
      <c r="Z93">
        <v>24.549125569341509</v>
      </c>
      <c r="AA93">
        <v>1.7293479449907341E-2</v>
      </c>
      <c r="AB93">
        <v>1.2507190910271151E-3</v>
      </c>
      <c r="AC93">
        <v>3.2840309847254737E-2</v>
      </c>
      <c r="AD93">
        <v>1.332234624952042E-3</v>
      </c>
      <c r="AE93">
        <v>3.3314935299776048E-2</v>
      </c>
      <c r="AH93">
        <f t="shared" si="10"/>
        <v>2</v>
      </c>
    </row>
    <row r="94" spans="1:40" x14ac:dyDescent="0.35">
      <c r="A94" t="s">
        <v>43</v>
      </c>
      <c r="B94" t="s">
        <v>44</v>
      </c>
      <c r="C94">
        <v>22.083333333333329</v>
      </c>
      <c r="D94">
        <v>22.083333333333329</v>
      </c>
      <c r="E94">
        <v>1</v>
      </c>
      <c r="F94">
        <v>27.400000000000041</v>
      </c>
      <c r="G94">
        <v>0</v>
      </c>
      <c r="H94">
        <v>2.300076229570327</v>
      </c>
      <c r="I94">
        <v>0.41146763315526469</v>
      </c>
      <c r="J94">
        <v>31.995000000000001</v>
      </c>
      <c r="K94">
        <v>0.39840060822573797</v>
      </c>
      <c r="L94">
        <v>0</v>
      </c>
      <c r="M94">
        <v>-1.3323802482043501E-3</v>
      </c>
      <c r="N94">
        <v>3.015511680013446E-3</v>
      </c>
      <c r="O94" t="s">
        <v>45</v>
      </c>
      <c r="P94">
        <v>10.08333333333333</v>
      </c>
      <c r="Q94">
        <v>0.21484374999999989</v>
      </c>
      <c r="R94">
        <v>26.257142857142789</v>
      </c>
      <c r="S94">
        <v>0.33456300005953832</v>
      </c>
      <c r="T94">
        <v>26.110454563308661</v>
      </c>
      <c r="U94">
        <v>2.144732361095854</v>
      </c>
      <c r="V94">
        <v>1.3167200384057869E-2</v>
      </c>
      <c r="W94">
        <v>0.27177075545688062</v>
      </c>
      <c r="X94">
        <v>5.9166666666666673E-3</v>
      </c>
      <c r="Y94">
        <v>5.9166666666666673E-3</v>
      </c>
      <c r="Z94">
        <v>25.006807866876549</v>
      </c>
      <c r="AA94">
        <v>1.3960891622464109E-2</v>
      </c>
      <c r="AB94">
        <v>1.013561359319036E-4</v>
      </c>
      <c r="AC94">
        <v>2.7771581245341639E-3</v>
      </c>
      <c r="AD94">
        <v>1.5896414912704621E-4</v>
      </c>
      <c r="AE94">
        <v>4.1506261929767606E-3</v>
      </c>
      <c r="AH94">
        <f t="shared" si="10"/>
        <v>4.3333333333333286</v>
      </c>
    </row>
    <row r="95" spans="1:40" x14ac:dyDescent="0.35">
      <c r="A95" t="s">
        <v>43</v>
      </c>
      <c r="B95" t="s">
        <v>44</v>
      </c>
      <c r="C95">
        <v>23.75</v>
      </c>
      <c r="D95">
        <v>23.75</v>
      </c>
      <c r="E95">
        <v>1</v>
      </c>
      <c r="F95">
        <v>28.4607142857143</v>
      </c>
      <c r="G95">
        <v>0</v>
      </c>
      <c r="H95">
        <v>2.268649013339584</v>
      </c>
      <c r="I95">
        <v>0.40678772640155569</v>
      </c>
      <c r="J95">
        <v>31.98</v>
      </c>
      <c r="K95">
        <v>0.32659507741004351</v>
      </c>
      <c r="L95">
        <v>0</v>
      </c>
      <c r="M95">
        <v>-5.1580025322113178E-5</v>
      </c>
      <c r="N95">
        <v>0</v>
      </c>
      <c r="O95" t="s">
        <v>45</v>
      </c>
      <c r="P95">
        <v>11.75</v>
      </c>
      <c r="Q95">
        <v>0.25035511363636359</v>
      </c>
      <c r="R95">
        <v>27.400000000000041</v>
      </c>
      <c r="S95">
        <v>0.41146763315526469</v>
      </c>
      <c r="T95">
        <v>26.573973145347541</v>
      </c>
      <c r="U95">
        <v>2.1548712499847431</v>
      </c>
      <c r="V95">
        <v>1.360207800305404E-2</v>
      </c>
      <c r="W95">
        <v>0.2843859629506359</v>
      </c>
      <c r="X95">
        <v>6.2500000000000003E-3</v>
      </c>
      <c r="Y95">
        <v>6.2500000000000003E-3</v>
      </c>
      <c r="Z95">
        <v>26.110454563308661</v>
      </c>
      <c r="AA95">
        <v>1.1452558466030849E-2</v>
      </c>
      <c r="AB95">
        <v>0</v>
      </c>
      <c r="AC95">
        <v>0</v>
      </c>
      <c r="AD95">
        <v>4.4398678069622197E-5</v>
      </c>
      <c r="AE95">
        <v>1.1798492787110711E-3</v>
      </c>
      <c r="AH95">
        <f t="shared" si="10"/>
        <v>1.6666666666666714</v>
      </c>
    </row>
    <row r="96" spans="1:40" x14ac:dyDescent="0.35">
      <c r="A96" t="s">
        <v>43</v>
      </c>
      <c r="B96" t="s">
        <v>44</v>
      </c>
      <c r="C96">
        <v>26.25</v>
      </c>
      <c r="D96">
        <v>26.25</v>
      </c>
      <c r="E96">
        <v>1</v>
      </c>
      <c r="F96">
        <v>28.6821428571429</v>
      </c>
      <c r="G96">
        <v>0</v>
      </c>
      <c r="H96">
        <v>2.2841430829796412</v>
      </c>
      <c r="I96">
        <v>0.4021708299263646</v>
      </c>
      <c r="J96">
        <v>31.98</v>
      </c>
      <c r="K96">
        <v>0.13678951247075871</v>
      </c>
      <c r="L96">
        <v>0</v>
      </c>
      <c r="M96">
        <v>1.0012731948675189E-2</v>
      </c>
      <c r="N96">
        <v>0</v>
      </c>
      <c r="O96" t="s">
        <v>45</v>
      </c>
      <c r="P96">
        <v>14.25</v>
      </c>
      <c r="Q96">
        <v>0.30362215909090912</v>
      </c>
      <c r="R96">
        <v>28.4607142857143</v>
      </c>
      <c r="S96">
        <v>0.40678772640155569</v>
      </c>
      <c r="T96">
        <v>27.30784322790872</v>
      </c>
      <c r="U96">
        <v>2.171121249984743</v>
      </c>
      <c r="V96">
        <v>1.4188452461479281E-2</v>
      </c>
      <c r="W96">
        <v>0.30255615168821642</v>
      </c>
      <c r="X96">
        <v>6.7500000000000008E-3</v>
      </c>
      <c r="Y96">
        <v>6.7500000000000008E-3</v>
      </c>
      <c r="Z96">
        <v>26.573973145347541</v>
      </c>
      <c r="AA96">
        <v>9.1527359787461782E-3</v>
      </c>
      <c r="AB96">
        <v>6.1465052533981527E-5</v>
      </c>
      <c r="AC96">
        <v>1.7629494175014509E-3</v>
      </c>
      <c r="AD96">
        <v>4.5787070852972151E-5</v>
      </c>
      <c r="AE96">
        <v>1.2503461527181121E-3</v>
      </c>
      <c r="AH96">
        <f t="shared" si="10"/>
        <v>2.5</v>
      </c>
    </row>
    <row r="97" spans="1:34" x14ac:dyDescent="0.35">
      <c r="A97" t="s">
        <v>43</v>
      </c>
      <c r="B97" t="s">
        <v>44</v>
      </c>
      <c r="C97">
        <v>27.916666666666661</v>
      </c>
      <c r="D97">
        <v>27.916666666666661</v>
      </c>
      <c r="E97">
        <v>1</v>
      </c>
      <c r="F97">
        <v>28.785714285714288</v>
      </c>
      <c r="G97">
        <v>0</v>
      </c>
      <c r="H97">
        <v>2.3129845207850201</v>
      </c>
      <c r="I97">
        <v>0.38739384216345668</v>
      </c>
      <c r="J97">
        <v>32.01</v>
      </c>
      <c r="K97">
        <v>0.1117051303339633</v>
      </c>
      <c r="L97">
        <v>0</v>
      </c>
      <c r="M97">
        <v>9.8345454816412044E-3</v>
      </c>
      <c r="N97">
        <v>0</v>
      </c>
      <c r="O97" t="s">
        <v>45</v>
      </c>
      <c r="P97">
        <v>15.916666666666661</v>
      </c>
      <c r="Q97">
        <v>0.33913352272727271</v>
      </c>
      <c r="R97">
        <v>28.6821428571429</v>
      </c>
      <c r="S97">
        <v>0.4021708299263646</v>
      </c>
      <c r="T97">
        <v>27.821826328599229</v>
      </c>
      <c r="U97">
        <v>2.1826490277625208</v>
      </c>
      <c r="V97">
        <v>1.453689738861425E-2</v>
      </c>
      <c r="W97">
        <v>0.3141530853075174</v>
      </c>
      <c r="X97">
        <v>7.0833333333333338E-3</v>
      </c>
      <c r="Y97">
        <v>7.0833333333333338E-3</v>
      </c>
      <c r="Z97">
        <v>27.30784322790872</v>
      </c>
      <c r="AA97">
        <v>8.1324608061282798E-3</v>
      </c>
      <c r="AB97">
        <v>5.7221240602606509E-5</v>
      </c>
      <c r="AC97">
        <v>1.647154283060745E-3</v>
      </c>
      <c r="AD97">
        <v>4.5187763918299542E-5</v>
      </c>
      <c r="AE97">
        <v>1.257206119912673E-3</v>
      </c>
      <c r="AH97">
        <f>D97-D96</f>
        <v>1.6666666666666607</v>
      </c>
    </row>
    <row r="98" spans="1:34" x14ac:dyDescent="0.35">
      <c r="A98" t="s">
        <v>43</v>
      </c>
      <c r="B98" t="s">
        <v>44</v>
      </c>
      <c r="C98">
        <v>30.7</v>
      </c>
      <c r="D98">
        <v>30.7</v>
      </c>
      <c r="E98">
        <v>1</v>
      </c>
      <c r="F98">
        <v>28.803571428571392</v>
      </c>
      <c r="G98">
        <v>0</v>
      </c>
      <c r="H98">
        <v>2.339434992829764</v>
      </c>
      <c r="I98">
        <v>0.36893071596070381</v>
      </c>
      <c r="J98">
        <v>31.995000000000001</v>
      </c>
      <c r="K98">
        <v>0.15918407397981241</v>
      </c>
      <c r="L98">
        <v>0</v>
      </c>
      <c r="M98">
        <v>3.4895287403323258E-3</v>
      </c>
      <c r="N98">
        <v>0</v>
      </c>
      <c r="O98" t="s">
        <v>45</v>
      </c>
      <c r="P98">
        <v>18.7</v>
      </c>
      <c r="Q98">
        <v>0.39843749999999989</v>
      </c>
      <c r="R98">
        <v>28.785714285714288</v>
      </c>
      <c r="S98">
        <v>0.38739384216345668</v>
      </c>
      <c r="T98">
        <v>28.722125387933051</v>
      </c>
      <c r="U98">
        <v>2.2031389999847431</v>
      </c>
      <c r="V98">
        <v>1.504659661323521E-2</v>
      </c>
      <c r="W98">
        <v>0.33256824035724458</v>
      </c>
      <c r="X98">
        <v>7.640000000000001E-3</v>
      </c>
      <c r="Y98">
        <v>7.640000000000001E-3</v>
      </c>
      <c r="Z98">
        <v>27.821826328599229</v>
      </c>
      <c r="AA98">
        <v>7.0181512133357859E-3</v>
      </c>
      <c r="AB98">
        <v>1.9105318062930161E-5</v>
      </c>
      <c r="AC98">
        <v>5.5030139349118419E-4</v>
      </c>
      <c r="AD98">
        <v>4.4543024339050622E-5</v>
      </c>
      <c r="AE98">
        <v>1.2793703302239651E-3</v>
      </c>
      <c r="AH98">
        <f t="shared" si="10"/>
        <v>2.7833333333333385</v>
      </c>
    </row>
    <row r="99" spans="1:34" x14ac:dyDescent="0.35">
      <c r="A99" t="s">
        <v>43</v>
      </c>
      <c r="B99" t="s">
        <v>44</v>
      </c>
      <c r="C99">
        <v>33.75</v>
      </c>
      <c r="D99">
        <v>33.75</v>
      </c>
      <c r="E99">
        <v>1</v>
      </c>
      <c r="F99">
        <v>29.79999999999999</v>
      </c>
      <c r="G99">
        <v>0</v>
      </c>
      <c r="H99">
        <v>2.329200727712629</v>
      </c>
      <c r="I99">
        <v>0.35425034651676279</v>
      </c>
      <c r="J99">
        <v>31.98</v>
      </c>
      <c r="K99">
        <v>0.26522533724842129</v>
      </c>
      <c r="L99">
        <v>0</v>
      </c>
      <c r="M99">
        <v>2.7928434824722689E-3</v>
      </c>
      <c r="N99">
        <v>0</v>
      </c>
      <c r="O99" t="s">
        <v>45</v>
      </c>
      <c r="P99">
        <v>21.75</v>
      </c>
      <c r="Q99">
        <v>0.46342329545454541</v>
      </c>
      <c r="R99">
        <v>28.803571428571392</v>
      </c>
      <c r="S99">
        <v>0.36893071596070381</v>
      </c>
      <c r="T99">
        <v>29.765476465713711</v>
      </c>
      <c r="U99">
        <v>2.2273712499847429</v>
      </c>
      <c r="V99">
        <v>1.5507841511835201E-2</v>
      </c>
      <c r="W99">
        <v>0.35134941371533818</v>
      </c>
      <c r="X99">
        <v>8.2500000000000004E-3</v>
      </c>
      <c r="Y99">
        <v>8.2500000000000004E-3</v>
      </c>
      <c r="Z99">
        <v>28.722125387933051</v>
      </c>
      <c r="AA99">
        <v>1.0099235692500231E-2</v>
      </c>
      <c r="AB99">
        <v>1.425389975077348E-5</v>
      </c>
      <c r="AC99">
        <v>4.2476621257304947E-4</v>
      </c>
      <c r="AD99">
        <v>4.4081745590260227E-5</v>
      </c>
      <c r="AE99">
        <v>1.31211416093447E-3</v>
      </c>
      <c r="AH99">
        <f t="shared" si="10"/>
        <v>3.0500000000000007</v>
      </c>
    </row>
    <row r="100" spans="1:34" x14ac:dyDescent="0.35">
      <c r="A100" t="s">
        <v>43</v>
      </c>
      <c r="B100" t="s">
        <v>44</v>
      </c>
      <c r="C100">
        <v>36.75</v>
      </c>
      <c r="D100">
        <v>36.75</v>
      </c>
      <c r="E100">
        <v>1</v>
      </c>
      <c r="F100">
        <v>31.125000000000021</v>
      </c>
      <c r="G100">
        <v>0</v>
      </c>
      <c r="H100">
        <v>2.3492917496104351</v>
      </c>
      <c r="I100">
        <v>0.36316075055552099</v>
      </c>
      <c r="J100">
        <v>32.01</v>
      </c>
      <c r="K100">
        <v>0.14931279709094611</v>
      </c>
      <c r="L100">
        <v>0</v>
      </c>
      <c r="M100">
        <v>7.0528423074128453E-3</v>
      </c>
      <c r="N100">
        <v>7.8644295372393772E-3</v>
      </c>
      <c r="O100" t="s">
        <v>45</v>
      </c>
      <c r="P100">
        <v>24.75</v>
      </c>
      <c r="Q100">
        <v>0.52734375</v>
      </c>
      <c r="R100">
        <v>29.79999999999999</v>
      </c>
      <c r="S100">
        <v>0.35425034651676279</v>
      </c>
      <c r="T100">
        <v>30.845419164982491</v>
      </c>
      <c r="U100">
        <v>2.2530212499847431</v>
      </c>
      <c r="V100">
        <v>1.587051773015364E-2</v>
      </c>
      <c r="W100">
        <v>0.36837015084364239</v>
      </c>
      <c r="X100">
        <v>8.8500000000000002E-3</v>
      </c>
      <c r="Y100">
        <v>8.8500000000000002E-3</v>
      </c>
      <c r="Z100">
        <v>29.765476465713711</v>
      </c>
      <c r="AA100">
        <v>7.799312579268405E-3</v>
      </c>
      <c r="AB100">
        <v>2.8770054978672212E-4</v>
      </c>
      <c r="AC100">
        <v>8.9546796121117312E-3</v>
      </c>
      <c r="AD100">
        <v>3.0120992287467982E-4</v>
      </c>
      <c r="AE100">
        <v>9.2909463277215457E-3</v>
      </c>
      <c r="AH100">
        <f t="shared" si="10"/>
        <v>3</v>
      </c>
    </row>
    <row r="101" spans="1:34" x14ac:dyDescent="0.35">
      <c r="A101" t="s">
        <v>43</v>
      </c>
      <c r="B101" t="s">
        <v>44</v>
      </c>
      <c r="C101">
        <v>39.333333333333343</v>
      </c>
      <c r="D101">
        <v>39.333333333333343</v>
      </c>
      <c r="E101">
        <v>1</v>
      </c>
      <c r="F101">
        <v>30.88214285714287</v>
      </c>
      <c r="G101">
        <v>0</v>
      </c>
      <c r="H101">
        <v>2.3720627738137421</v>
      </c>
      <c r="I101">
        <v>0.39542135889885061</v>
      </c>
      <c r="J101">
        <v>32.01</v>
      </c>
      <c r="K101">
        <v>5.9273972263915238E-2</v>
      </c>
      <c r="L101">
        <v>0</v>
      </c>
      <c r="M101">
        <v>1.0697822180698599E-2</v>
      </c>
      <c r="N101">
        <v>2.0138870672899181E-2</v>
      </c>
      <c r="O101" t="s">
        <v>45</v>
      </c>
      <c r="P101">
        <v>27.333333333333339</v>
      </c>
      <c r="Q101">
        <v>0.58238636363636365</v>
      </c>
      <c r="R101">
        <v>31.125000000000021</v>
      </c>
      <c r="S101">
        <v>0.36316075055552099</v>
      </c>
      <c r="T101">
        <v>31.814696180085878</v>
      </c>
      <c r="U101">
        <v>2.2765511110958538</v>
      </c>
      <c r="V101">
        <v>1.611696629211079E-2</v>
      </c>
      <c r="W101">
        <v>0.38185765373293867</v>
      </c>
      <c r="X101">
        <v>9.3666666666666672E-3</v>
      </c>
      <c r="Y101">
        <v>9.3666666666666672E-3</v>
      </c>
      <c r="Z101">
        <v>30.845419164982491</v>
      </c>
      <c r="AA101">
        <v>6.429284455135683E-3</v>
      </c>
      <c r="AB101">
        <v>7.0986624672256108E-4</v>
      </c>
      <c r="AC101">
        <v>2.192219084074996E-2</v>
      </c>
      <c r="AD101">
        <v>6.8414284052962235E-4</v>
      </c>
      <c r="AE101">
        <v>2.1765796615230881E-2</v>
      </c>
      <c r="AH101">
        <f t="shared" si="10"/>
        <v>2.5833333333333428</v>
      </c>
    </row>
    <row r="102" spans="1:34" x14ac:dyDescent="0.35">
      <c r="A102" s="6" t="s">
        <v>43</v>
      </c>
      <c r="B102" s="6" t="s">
        <v>44</v>
      </c>
      <c r="C102" s="6">
        <v>46.933333333333337</v>
      </c>
      <c r="D102" s="6">
        <v>46.933333333333337</v>
      </c>
      <c r="E102" s="6">
        <v>1</v>
      </c>
      <c r="F102" s="6">
        <v>31.93571428571439</v>
      </c>
      <c r="G102" s="6">
        <v>0</v>
      </c>
      <c r="H102" s="6">
        <v>2.5153073771374652</v>
      </c>
      <c r="I102" s="6">
        <v>0.73603009978024492</v>
      </c>
      <c r="J102" s="6">
        <v>32.01</v>
      </c>
      <c r="K102" s="6">
        <v>0.31224891362297308</v>
      </c>
      <c r="L102" s="6">
        <v>0</v>
      </c>
      <c r="M102" s="6">
        <v>2.6336064388246091E-2</v>
      </c>
      <c r="N102" s="6">
        <v>6.8944610208140522E-2</v>
      </c>
      <c r="O102" s="6" t="s">
        <v>45</v>
      </c>
      <c r="P102" s="6">
        <v>34.933333333333337</v>
      </c>
      <c r="Q102" s="6">
        <v>0.74431818181818188</v>
      </c>
      <c r="R102" s="6">
        <v>30.88214285714287</v>
      </c>
      <c r="S102" s="6">
        <v>0.39542135889885061</v>
      </c>
      <c r="T102" s="6">
        <v>34.849685763561922</v>
      </c>
      <c r="U102" s="6">
        <v>2.353513777762521</v>
      </c>
      <c r="V102" s="6">
        <v>1.6541798874683059E-2</v>
      </c>
      <c r="W102" s="6">
        <v>0.41527203499903431</v>
      </c>
      <c r="X102" s="6">
        <v>1.0886666666666669E-2</v>
      </c>
      <c r="Y102" s="6">
        <v>1.0886666666666669E-2</v>
      </c>
      <c r="Z102" s="6">
        <v>31.814696180085878</v>
      </c>
      <c r="AA102" s="6">
        <v>2.0247737212297209E-2</v>
      </c>
      <c r="AB102" s="6">
        <v>2.4001679635735941E-3</v>
      </c>
      <c r="AC102" s="6">
        <v>7.665107832241122E-2</v>
      </c>
      <c r="AD102" s="6">
        <v>2.0760379521375682E-3</v>
      </c>
      <c r="AE102" s="6">
        <v>7.2349270265222823E-2</v>
      </c>
      <c r="AF102" s="6"/>
      <c r="AG102" s="6"/>
      <c r="AH102" s="7">
        <f t="shared" si="10"/>
        <v>7.5999999999999943</v>
      </c>
    </row>
    <row r="103" spans="1:34" x14ac:dyDescent="0.35">
      <c r="A103" t="s">
        <v>46</v>
      </c>
      <c r="B103" t="s">
        <v>47</v>
      </c>
      <c r="C103">
        <v>0</v>
      </c>
      <c r="D103">
        <v>0</v>
      </c>
      <c r="E103">
        <v>0</v>
      </c>
      <c r="F103">
        <v>0.18035714285729351</v>
      </c>
      <c r="G103">
        <v>8.2089999999999996</v>
      </c>
      <c r="H103">
        <v>1.7527999999999999</v>
      </c>
      <c r="I103">
        <v>0</v>
      </c>
      <c r="J103">
        <v>37.26</v>
      </c>
      <c r="K103">
        <v>5.5187649383912019E-2</v>
      </c>
      <c r="L103">
        <v>-0.45298584298584471</v>
      </c>
      <c r="M103">
        <v>-1.158462033462093E-2</v>
      </c>
      <c r="N103">
        <v>0</v>
      </c>
      <c r="O103" t="s">
        <v>48</v>
      </c>
      <c r="P103">
        <v>-10</v>
      </c>
      <c r="Q103">
        <v>-0.21543985637342911</v>
      </c>
      <c r="R103">
        <v>0.18035714285729351</v>
      </c>
      <c r="S103">
        <v>0</v>
      </c>
      <c r="T103">
        <v>0.18035714285729351</v>
      </c>
      <c r="U103">
        <v>1.7527999999999999</v>
      </c>
      <c r="V103">
        <v>0.86978688697464612</v>
      </c>
      <c r="W103">
        <v>0.15687227782948679</v>
      </c>
      <c r="X103">
        <v>0</v>
      </c>
      <c r="Y103">
        <v>0</v>
      </c>
      <c r="Z103">
        <v>0.18035714285729351</v>
      </c>
      <c r="AA103">
        <v>0.29938171896182958</v>
      </c>
      <c r="AB103">
        <v>0</v>
      </c>
      <c r="AC103">
        <v>0</v>
      </c>
      <c r="AD103">
        <v>0</v>
      </c>
      <c r="AE103">
        <v>0</v>
      </c>
    </row>
    <row r="104" spans="1:34" x14ac:dyDescent="0.35">
      <c r="A104" t="s">
        <v>46</v>
      </c>
      <c r="B104" t="s">
        <v>47</v>
      </c>
      <c r="C104">
        <v>0.79999999999999982</v>
      </c>
      <c r="D104">
        <v>0.79999999999999982</v>
      </c>
      <c r="E104">
        <v>0</v>
      </c>
      <c r="F104">
        <v>0.33928571428576942</v>
      </c>
      <c r="G104">
        <v>7.657</v>
      </c>
      <c r="H104">
        <v>1.7438</v>
      </c>
      <c r="I104">
        <v>0</v>
      </c>
      <c r="J104">
        <v>36.989999999999988</v>
      </c>
      <c r="K104">
        <v>0.52538476559196456</v>
      </c>
      <c r="L104">
        <v>-0.94019291564791141</v>
      </c>
      <c r="M104">
        <v>-9.0585660641781356E-3</v>
      </c>
      <c r="N104">
        <v>0</v>
      </c>
      <c r="O104" t="s">
        <v>48</v>
      </c>
      <c r="P104">
        <v>-9.1999999999999993</v>
      </c>
      <c r="Q104">
        <v>-0.19820466786355481</v>
      </c>
      <c r="R104">
        <v>0.18035714285729351</v>
      </c>
      <c r="S104">
        <v>0</v>
      </c>
      <c r="T104">
        <v>0.36168305059302469</v>
      </c>
      <c r="U104">
        <v>1.7527999999999999</v>
      </c>
      <c r="V104">
        <v>0.86978618677693509</v>
      </c>
      <c r="W104">
        <v>0.31458692139715633</v>
      </c>
      <c r="X104">
        <v>0</v>
      </c>
      <c r="Y104">
        <v>0</v>
      </c>
      <c r="Z104">
        <v>0.18035714285729351</v>
      </c>
      <c r="AA104">
        <v>1.543307739364463</v>
      </c>
      <c r="AB104">
        <v>0</v>
      </c>
      <c r="AC104">
        <v>0</v>
      </c>
      <c r="AD104">
        <v>0</v>
      </c>
      <c r="AE104">
        <v>0</v>
      </c>
      <c r="AF104">
        <f>C104-C103</f>
        <v>0.79999999999999982</v>
      </c>
    </row>
    <row r="105" spans="1:34" x14ac:dyDescent="0.35">
      <c r="A105" t="s">
        <v>46</v>
      </c>
      <c r="B105" t="s">
        <v>47</v>
      </c>
      <c r="C105">
        <v>1.85</v>
      </c>
      <c r="D105">
        <v>1.85</v>
      </c>
      <c r="E105">
        <v>0</v>
      </c>
      <c r="F105">
        <v>0.89625000000004285</v>
      </c>
      <c r="G105">
        <v>6.3570000000000002</v>
      </c>
      <c r="H105">
        <v>1.7327999999999999</v>
      </c>
      <c r="I105">
        <v>0</v>
      </c>
      <c r="J105">
        <v>36.989999999999988</v>
      </c>
      <c r="K105">
        <v>0.93128033079158934</v>
      </c>
      <c r="L105">
        <v>-2.0132632326359632</v>
      </c>
      <c r="M105">
        <v>-1.296025948216898E-2</v>
      </c>
      <c r="N105">
        <v>0</v>
      </c>
      <c r="O105" t="s">
        <v>48</v>
      </c>
      <c r="P105">
        <v>-8.15</v>
      </c>
      <c r="Q105">
        <v>-0.1755834829443447</v>
      </c>
      <c r="R105">
        <v>0.33928571428576942</v>
      </c>
      <c r="S105">
        <v>0</v>
      </c>
      <c r="T105">
        <v>0.90148435223348733</v>
      </c>
      <c r="U105">
        <v>1.7527999999999999</v>
      </c>
      <c r="V105">
        <v>0.86978357599269596</v>
      </c>
      <c r="W105">
        <v>0.78409628358710171</v>
      </c>
      <c r="X105">
        <v>0</v>
      </c>
      <c r="Y105">
        <v>0</v>
      </c>
      <c r="Z105">
        <v>0.36168305059302469</v>
      </c>
      <c r="AA105">
        <v>1.0316060716684601</v>
      </c>
      <c r="AB105">
        <v>0</v>
      </c>
      <c r="AC105">
        <v>0</v>
      </c>
      <c r="AD105">
        <v>0</v>
      </c>
      <c r="AE105">
        <v>0</v>
      </c>
      <c r="AF105">
        <f>C105-C104</f>
        <v>1.0500000000000003</v>
      </c>
    </row>
    <row r="106" spans="1:34" x14ac:dyDescent="0.35">
      <c r="A106" t="s">
        <v>46</v>
      </c>
      <c r="B106" t="s">
        <v>47</v>
      </c>
      <c r="C106">
        <v>3.0333333333333332</v>
      </c>
      <c r="D106">
        <v>3.0333333333333332</v>
      </c>
      <c r="E106">
        <v>0</v>
      </c>
      <c r="F106">
        <v>2.5046511627906849</v>
      </c>
      <c r="G106">
        <v>3.0550000000000002</v>
      </c>
      <c r="H106">
        <v>1.7228000000000001</v>
      </c>
      <c r="I106">
        <v>0</v>
      </c>
      <c r="J106">
        <v>37.020000000000003</v>
      </c>
      <c r="K106">
        <v>1.960777481350042</v>
      </c>
      <c r="L106">
        <v>-3.0024496551131459</v>
      </c>
      <c r="M106">
        <v>-6.1668030952422691E-3</v>
      </c>
      <c r="N106">
        <v>0</v>
      </c>
      <c r="O106" t="s">
        <v>48</v>
      </c>
      <c r="P106">
        <v>-6.9666666666666668</v>
      </c>
      <c r="Q106">
        <v>-0.1500897666068223</v>
      </c>
      <c r="R106">
        <v>0.89625000000004285</v>
      </c>
      <c r="S106">
        <v>0</v>
      </c>
      <c r="T106">
        <v>2.523189877060152</v>
      </c>
      <c r="U106">
        <v>1.7527999999999999</v>
      </c>
      <c r="V106">
        <v>0.86976199691496603</v>
      </c>
      <c r="W106">
        <v>2.194574666067465</v>
      </c>
      <c r="X106">
        <v>0</v>
      </c>
      <c r="Y106">
        <v>0</v>
      </c>
      <c r="Z106">
        <v>0.90148435223348733</v>
      </c>
      <c r="AA106">
        <v>0.77927499551078905</v>
      </c>
      <c r="AB106">
        <v>0</v>
      </c>
      <c r="AC106">
        <v>0</v>
      </c>
      <c r="AD106">
        <v>0</v>
      </c>
      <c r="AE106">
        <v>0</v>
      </c>
      <c r="AF106">
        <f>C106-C105</f>
        <v>1.1833333333333331</v>
      </c>
    </row>
    <row r="107" spans="1:34" x14ac:dyDescent="0.35">
      <c r="A107" t="s">
        <v>46</v>
      </c>
      <c r="B107" t="s">
        <v>47</v>
      </c>
      <c r="C107">
        <v>4.0000000000000009</v>
      </c>
      <c r="D107">
        <v>4.0000000000000009</v>
      </c>
      <c r="E107">
        <v>0</v>
      </c>
      <c r="F107">
        <v>5.6785714285714386</v>
      </c>
      <c r="G107">
        <v>0</v>
      </c>
      <c r="H107">
        <v>1.728574534971083</v>
      </c>
      <c r="I107">
        <v>0</v>
      </c>
      <c r="J107">
        <v>36.989999999999988</v>
      </c>
      <c r="K107">
        <v>2.297172439252865</v>
      </c>
      <c r="L107">
        <v>-1.5801724137930999</v>
      </c>
      <c r="M107">
        <v>7.7042205742574527E-3</v>
      </c>
      <c r="N107">
        <v>0</v>
      </c>
      <c r="O107" t="s">
        <v>48</v>
      </c>
      <c r="P107">
        <v>-5.9999999999999991</v>
      </c>
      <c r="Q107">
        <v>-0.12926391382405741</v>
      </c>
      <c r="R107">
        <v>2.5046511627906849</v>
      </c>
      <c r="S107">
        <v>0</v>
      </c>
      <c r="T107">
        <v>4.8370874861345641</v>
      </c>
      <c r="U107">
        <v>1.7686000157960891</v>
      </c>
      <c r="V107">
        <v>0.60458831050053541</v>
      </c>
      <c r="W107">
        <v>2.697443125811001</v>
      </c>
      <c r="X107">
        <v>8.3000000000000018E-2</v>
      </c>
      <c r="Y107">
        <v>4.1500000000000009E-2</v>
      </c>
      <c r="Z107">
        <v>2.523189877060152</v>
      </c>
      <c r="AA107">
        <v>0.40899049041444813</v>
      </c>
      <c r="AB107">
        <v>0</v>
      </c>
      <c r="AC107">
        <v>0</v>
      </c>
      <c r="AD107">
        <v>0</v>
      </c>
      <c r="AE107">
        <v>0</v>
      </c>
      <c r="AG107">
        <f t="shared" ref="AG107:AG110" si="11">C107-C106</f>
        <v>0.96666666666666767</v>
      </c>
    </row>
    <row r="108" spans="1:34" x14ac:dyDescent="0.35">
      <c r="A108" t="s">
        <v>46</v>
      </c>
      <c r="B108" t="s">
        <v>47</v>
      </c>
      <c r="C108">
        <v>4.9666666666666659</v>
      </c>
      <c r="D108">
        <v>4.9666666666666659</v>
      </c>
      <c r="E108">
        <v>0</v>
      </c>
      <c r="F108">
        <v>7.1428571428571486</v>
      </c>
      <c r="G108">
        <v>0</v>
      </c>
      <c r="H108">
        <v>1.741722990771442</v>
      </c>
      <c r="I108">
        <v>0</v>
      </c>
      <c r="J108">
        <v>37.005000000000003</v>
      </c>
      <c r="K108">
        <v>2.8280575521260181</v>
      </c>
      <c r="L108">
        <v>0</v>
      </c>
      <c r="M108">
        <v>2.9787780266327689E-2</v>
      </c>
      <c r="N108">
        <v>0</v>
      </c>
      <c r="O108" t="s">
        <v>48</v>
      </c>
      <c r="P108">
        <v>-5.0333333333333341</v>
      </c>
      <c r="Q108">
        <v>-0.10843806104129269</v>
      </c>
      <c r="R108">
        <v>5.6785714285714386</v>
      </c>
      <c r="S108">
        <v>0</v>
      </c>
      <c r="T108">
        <v>7.7957812388204681</v>
      </c>
      <c r="U108">
        <v>1.813388949473866</v>
      </c>
      <c r="V108">
        <v>0.45107004417143648</v>
      </c>
      <c r="W108">
        <v>3.0765111380550878</v>
      </c>
      <c r="X108">
        <v>0.1023333333333333</v>
      </c>
      <c r="Y108">
        <v>5.1166666666666659E-2</v>
      </c>
      <c r="Z108">
        <v>4.8370874861345641</v>
      </c>
      <c r="AA108">
        <v>0.41303053594904587</v>
      </c>
      <c r="AB108">
        <v>0</v>
      </c>
      <c r="AC108">
        <v>0</v>
      </c>
      <c r="AD108">
        <v>0</v>
      </c>
      <c r="AE108">
        <v>0</v>
      </c>
      <c r="AG108">
        <f t="shared" si="11"/>
        <v>0.96666666666666501</v>
      </c>
    </row>
    <row r="109" spans="1:34" x14ac:dyDescent="0.35">
      <c r="A109" t="s">
        <v>46</v>
      </c>
      <c r="B109" t="s">
        <v>47</v>
      </c>
      <c r="C109">
        <v>5.833333333333333</v>
      </c>
      <c r="D109">
        <v>5.833333333333333</v>
      </c>
      <c r="E109">
        <v>0</v>
      </c>
      <c r="F109">
        <v>10.17142857142859</v>
      </c>
      <c r="G109">
        <v>0</v>
      </c>
      <c r="H109">
        <v>1.7673677358659701</v>
      </c>
      <c r="I109">
        <v>0</v>
      </c>
      <c r="J109">
        <v>37.034999999999997</v>
      </c>
      <c r="K109">
        <v>3.8813800646666792</v>
      </c>
      <c r="L109">
        <v>0</v>
      </c>
      <c r="M109">
        <v>6.9249387038377713E-2</v>
      </c>
      <c r="N109">
        <v>0</v>
      </c>
      <c r="O109" t="s">
        <v>48</v>
      </c>
      <c r="P109">
        <v>-4.166666666666667</v>
      </c>
      <c r="Q109">
        <v>-8.9766606822262132E-2</v>
      </c>
      <c r="R109">
        <v>7.1428571428571486</v>
      </c>
      <c r="S109">
        <v>0</v>
      </c>
      <c r="T109">
        <v>10.814599984029529</v>
      </c>
      <c r="U109">
        <v>1.861488997573866</v>
      </c>
      <c r="V109">
        <v>0.37040558309718152</v>
      </c>
      <c r="W109">
        <v>3.3105667354511188</v>
      </c>
      <c r="X109">
        <v>0.1196666666666667</v>
      </c>
      <c r="Y109">
        <v>5.9833333333333343E-2</v>
      </c>
      <c r="Z109">
        <v>7.7957812388204681</v>
      </c>
      <c r="AA109">
        <v>0.42077857217748749</v>
      </c>
      <c r="AB109">
        <v>0</v>
      </c>
      <c r="AC109">
        <v>0</v>
      </c>
      <c r="AD109">
        <v>0</v>
      </c>
      <c r="AE109">
        <v>0</v>
      </c>
      <c r="AG109">
        <f t="shared" si="11"/>
        <v>0.86666666666666714</v>
      </c>
    </row>
    <row r="110" spans="1:34" x14ac:dyDescent="0.35">
      <c r="A110" t="s">
        <v>46</v>
      </c>
      <c r="B110" t="s">
        <v>47</v>
      </c>
      <c r="C110">
        <v>6.916666666666667</v>
      </c>
      <c r="D110">
        <v>6.916666666666667</v>
      </c>
      <c r="E110">
        <v>0</v>
      </c>
      <c r="F110">
        <v>14.40357142857142</v>
      </c>
      <c r="G110">
        <v>0</v>
      </c>
      <c r="H110">
        <v>1.873606104027935</v>
      </c>
      <c r="I110">
        <v>0</v>
      </c>
      <c r="J110">
        <v>37.020000000000003</v>
      </c>
      <c r="K110">
        <v>4.8049650487140489</v>
      </c>
      <c r="L110">
        <v>0</v>
      </c>
      <c r="M110">
        <v>0.1027920516023208</v>
      </c>
      <c r="N110">
        <v>0</v>
      </c>
      <c r="O110" t="s">
        <v>48</v>
      </c>
      <c r="P110">
        <v>-3.083333333333333</v>
      </c>
      <c r="Q110">
        <v>-6.6427289048473961E-2</v>
      </c>
      <c r="R110">
        <v>10.17142857142859</v>
      </c>
      <c r="S110">
        <v>0</v>
      </c>
      <c r="T110">
        <v>14.978279365334931</v>
      </c>
      <c r="U110">
        <v>1.932176568261367</v>
      </c>
      <c r="V110">
        <v>0.30430586521897079</v>
      </c>
      <c r="W110">
        <v>3.4623588525016999</v>
      </c>
      <c r="X110">
        <v>0.14133333333333331</v>
      </c>
      <c r="Y110">
        <v>7.0666666666666669E-2</v>
      </c>
      <c r="Z110">
        <v>10.814599984029529</v>
      </c>
      <c r="AA110">
        <v>0.38845860487844591</v>
      </c>
      <c r="AB110">
        <v>0</v>
      </c>
      <c r="AC110">
        <v>0</v>
      </c>
      <c r="AD110">
        <v>0</v>
      </c>
      <c r="AE110">
        <v>0</v>
      </c>
      <c r="AG110">
        <f t="shared" si="11"/>
        <v>1.0833333333333339</v>
      </c>
    </row>
    <row r="111" spans="1:34" x14ac:dyDescent="0.35">
      <c r="A111" t="s">
        <v>46</v>
      </c>
      <c r="B111" t="s">
        <v>47</v>
      </c>
      <c r="C111">
        <v>7.6333333333333337</v>
      </c>
      <c r="D111">
        <v>7.6333333333333337</v>
      </c>
      <c r="E111">
        <v>0</v>
      </c>
      <c r="F111">
        <v>17.9821428571429</v>
      </c>
      <c r="G111">
        <v>0</v>
      </c>
      <c r="H111">
        <v>1.940578415365944</v>
      </c>
      <c r="I111">
        <v>0</v>
      </c>
      <c r="J111">
        <v>37.034999999999997</v>
      </c>
      <c r="K111">
        <v>5.6251412080261627</v>
      </c>
      <c r="L111">
        <v>0</v>
      </c>
      <c r="M111">
        <v>0.10477938437693871</v>
      </c>
      <c r="N111">
        <v>0</v>
      </c>
      <c r="O111" t="s">
        <v>48</v>
      </c>
      <c r="P111">
        <v>-2.3666666666666658</v>
      </c>
      <c r="Q111">
        <v>-5.098743267504488E-2</v>
      </c>
      <c r="R111">
        <v>14.40357142857142</v>
      </c>
      <c r="S111">
        <v>0</v>
      </c>
      <c r="T111">
        <v>17.917029489576489</v>
      </c>
      <c r="U111">
        <v>1.985389121473867</v>
      </c>
      <c r="V111">
        <v>0.27268309892719828</v>
      </c>
      <c r="W111">
        <v>3.480866279710169</v>
      </c>
      <c r="X111">
        <v>0.1556666666666667</v>
      </c>
      <c r="Y111">
        <v>7.7833333333333338E-2</v>
      </c>
      <c r="Z111">
        <v>14.978279365334931</v>
      </c>
      <c r="AA111">
        <v>0.36681207393275939</v>
      </c>
      <c r="AB111">
        <v>0</v>
      </c>
      <c r="AC111">
        <v>0</v>
      </c>
      <c r="AD111">
        <v>0</v>
      </c>
      <c r="AE111">
        <v>0</v>
      </c>
      <c r="AG111">
        <f>C111-C110</f>
        <v>0.71666666666666679</v>
      </c>
    </row>
    <row r="112" spans="1:34" x14ac:dyDescent="0.35">
      <c r="A112" t="s">
        <v>46</v>
      </c>
      <c r="B112" t="s">
        <v>47</v>
      </c>
      <c r="C112">
        <v>8.25</v>
      </c>
      <c r="D112">
        <v>8.25</v>
      </c>
      <c r="E112">
        <v>0</v>
      </c>
      <c r="F112">
        <v>22.189285714285798</v>
      </c>
      <c r="G112">
        <v>0</v>
      </c>
      <c r="H112">
        <v>2.0142889853048001</v>
      </c>
      <c r="I112">
        <v>0</v>
      </c>
      <c r="J112">
        <v>36.96</v>
      </c>
      <c r="K112">
        <v>5.1555089118972841</v>
      </c>
      <c r="L112">
        <v>0</v>
      </c>
      <c r="M112">
        <v>9.6378788858369563E-2</v>
      </c>
      <c r="N112">
        <v>0</v>
      </c>
      <c r="O112" t="s">
        <v>48</v>
      </c>
      <c r="P112">
        <v>-1.75</v>
      </c>
      <c r="Q112">
        <v>-3.7701974865350089E-2</v>
      </c>
      <c r="R112">
        <v>17.9821428571429</v>
      </c>
      <c r="S112">
        <v>0</v>
      </c>
      <c r="T112">
        <v>20.533153087984662</v>
      </c>
      <c r="U112">
        <v>2.0352877824835889</v>
      </c>
      <c r="V112">
        <v>0.25049666167465168</v>
      </c>
      <c r="W112">
        <v>3.4486057312653191</v>
      </c>
      <c r="X112">
        <v>0.16800000000000001</v>
      </c>
      <c r="Y112">
        <v>8.4000000000000005E-2</v>
      </c>
      <c r="Z112">
        <v>17.917029489576489</v>
      </c>
      <c r="AA112">
        <v>0.28018981343879501</v>
      </c>
      <c r="AB112">
        <v>0</v>
      </c>
      <c r="AC112">
        <v>0</v>
      </c>
      <c r="AD112">
        <v>0</v>
      </c>
      <c r="AE112">
        <v>0</v>
      </c>
      <c r="AG112">
        <f t="shared" ref="AG112:AG116" si="12">C112-C111</f>
        <v>0.61666666666666625</v>
      </c>
    </row>
    <row r="113" spans="1:34" x14ac:dyDescent="0.35">
      <c r="A113" t="s">
        <v>46</v>
      </c>
      <c r="B113" t="s">
        <v>47</v>
      </c>
      <c r="C113">
        <v>9.0500000000000007</v>
      </c>
      <c r="D113">
        <v>9.0500000000000007</v>
      </c>
      <c r="E113">
        <v>0</v>
      </c>
      <c r="F113">
        <v>25.664285714285729</v>
      </c>
      <c r="G113">
        <v>0</v>
      </c>
      <c r="H113">
        <v>2.1041151504255589</v>
      </c>
      <c r="I113">
        <v>0</v>
      </c>
      <c r="J113">
        <v>37.020000000000003</v>
      </c>
      <c r="K113">
        <v>3.1149026351282858</v>
      </c>
      <c r="L113">
        <v>0</v>
      </c>
      <c r="M113">
        <v>5.2498676826834477E-2</v>
      </c>
      <c r="N113">
        <v>1.984067189471752E-2</v>
      </c>
      <c r="O113" t="s">
        <v>48</v>
      </c>
      <c r="P113">
        <v>-0.94999999999999929</v>
      </c>
      <c r="Q113">
        <v>-2.046678635547575E-2</v>
      </c>
      <c r="R113">
        <v>22.189285714285798</v>
      </c>
      <c r="S113">
        <v>0</v>
      </c>
      <c r="T113">
        <v>24.013271233072391</v>
      </c>
      <c r="U113">
        <v>2.1056878528835901</v>
      </c>
      <c r="V113">
        <v>0.22674960978211781</v>
      </c>
      <c r="W113">
        <v>3.346663273615921</v>
      </c>
      <c r="X113">
        <v>0.184</v>
      </c>
      <c r="Y113">
        <v>9.2000000000000012E-2</v>
      </c>
      <c r="Z113">
        <v>20.533153087984662</v>
      </c>
      <c r="AA113">
        <v>0.14632157891832059</v>
      </c>
      <c r="AB113">
        <v>0</v>
      </c>
      <c r="AC113">
        <v>0</v>
      </c>
      <c r="AD113">
        <v>0</v>
      </c>
      <c r="AE113">
        <v>0</v>
      </c>
      <c r="AG113">
        <f t="shared" si="12"/>
        <v>0.80000000000000071</v>
      </c>
    </row>
    <row r="114" spans="1:34" x14ac:dyDescent="0.35">
      <c r="A114" t="s">
        <v>46</v>
      </c>
      <c r="B114" t="s">
        <v>47</v>
      </c>
      <c r="C114">
        <v>10.133333333333329</v>
      </c>
      <c r="D114">
        <v>10.133333333333329</v>
      </c>
      <c r="E114">
        <v>1</v>
      </c>
      <c r="F114">
        <v>27.80357142857142</v>
      </c>
      <c r="G114">
        <v>0</v>
      </c>
      <c r="H114">
        <v>2.1114118262952122</v>
      </c>
      <c r="I114">
        <v>5.060060245371522E-2</v>
      </c>
      <c r="J114">
        <v>29.01</v>
      </c>
      <c r="K114">
        <v>1.292833793699242</v>
      </c>
      <c r="L114">
        <v>0</v>
      </c>
      <c r="M114">
        <v>6.8794818717425642E-4</v>
      </c>
      <c r="N114">
        <v>4.2904045428811668E-2</v>
      </c>
      <c r="O114" t="s">
        <v>48</v>
      </c>
      <c r="P114">
        <v>0.13333333333333289</v>
      </c>
      <c r="Q114">
        <v>2.872531418312378E-3</v>
      </c>
      <c r="R114">
        <v>25.664285714285729</v>
      </c>
      <c r="S114">
        <v>0</v>
      </c>
      <c r="T114">
        <v>28.241804866272979</v>
      </c>
      <c r="U114">
        <v>2.198068889704301</v>
      </c>
      <c r="V114">
        <v>7.0800059968866022E-3</v>
      </c>
      <c r="W114">
        <v>0.1093276616638276</v>
      </c>
      <c r="X114">
        <v>7.0533333333333333E-3</v>
      </c>
      <c r="Y114">
        <v>3.5266666666666671E-3</v>
      </c>
      <c r="Z114">
        <v>24.013271233072391</v>
      </c>
      <c r="AA114">
        <v>4.6824662862012083E-2</v>
      </c>
      <c r="AB114">
        <v>1.5437057220779361E-3</v>
      </c>
      <c r="AC114">
        <v>4.2920532308488309E-2</v>
      </c>
      <c r="AD114">
        <v>1.524917290400108E-3</v>
      </c>
      <c r="AE114">
        <v>4.3066416552685567E-2</v>
      </c>
      <c r="AG114">
        <f t="shared" si="12"/>
        <v>1.0833333333333286</v>
      </c>
    </row>
    <row r="115" spans="1:34" x14ac:dyDescent="0.35">
      <c r="A115" t="s">
        <v>46</v>
      </c>
      <c r="B115" t="s">
        <v>47</v>
      </c>
      <c r="C115">
        <v>11.56666666666667</v>
      </c>
      <c r="D115">
        <v>11.56666666666667</v>
      </c>
      <c r="E115">
        <v>1</v>
      </c>
      <c r="F115">
        <v>28.210714285714332</v>
      </c>
      <c r="G115">
        <v>0</v>
      </c>
      <c r="H115">
        <v>2.0927067758444209</v>
      </c>
      <c r="I115">
        <v>0.10440362824645689</v>
      </c>
      <c r="J115">
        <v>28.995000000000001</v>
      </c>
      <c r="K115">
        <v>0.49955996679384918</v>
      </c>
      <c r="L115">
        <v>0</v>
      </c>
      <c r="M115">
        <v>-1.6562803475067389E-2</v>
      </c>
      <c r="N115">
        <v>3.7529232222914287E-2</v>
      </c>
      <c r="O115" t="s">
        <v>48</v>
      </c>
      <c r="P115">
        <v>1.566666666666666</v>
      </c>
      <c r="Q115">
        <v>3.3752244165170552E-2</v>
      </c>
      <c r="R115">
        <v>27.80357142857142</v>
      </c>
      <c r="S115">
        <v>5.060060245371522E-2</v>
      </c>
      <c r="T115">
        <v>28.471913693289899</v>
      </c>
      <c r="U115">
        <v>2.2033292282979691</v>
      </c>
      <c r="V115">
        <v>7.5755203399062651E-3</v>
      </c>
      <c r="W115">
        <v>0.1171360667459857</v>
      </c>
      <c r="X115">
        <v>7.626666666666667E-3</v>
      </c>
      <c r="Y115">
        <v>3.8133333333333339E-3</v>
      </c>
      <c r="Z115">
        <v>28.241804866272979</v>
      </c>
      <c r="AA115">
        <v>9.7936282413822878E-3</v>
      </c>
      <c r="AB115">
        <v>1.301027884616268E-3</v>
      </c>
      <c r="AC115">
        <v>3.6702925930656841E-2</v>
      </c>
      <c r="AD115">
        <v>1.3308068551077319E-3</v>
      </c>
      <c r="AE115">
        <v>3.7890617921065912E-2</v>
      </c>
      <c r="AG115">
        <f t="shared" si="12"/>
        <v>1.4333333333333407</v>
      </c>
    </row>
    <row r="116" spans="1:34" x14ac:dyDescent="0.35">
      <c r="A116" t="s">
        <v>46</v>
      </c>
      <c r="B116" t="s">
        <v>47</v>
      </c>
      <c r="C116">
        <v>12.66666666666667</v>
      </c>
      <c r="D116">
        <v>12.66666666666667</v>
      </c>
      <c r="E116">
        <v>1</v>
      </c>
      <c r="F116">
        <v>28.849999999999952</v>
      </c>
      <c r="G116">
        <v>0</v>
      </c>
      <c r="H116">
        <v>2.0591062024191089</v>
      </c>
      <c r="I116">
        <v>0.1491197853115378</v>
      </c>
      <c r="J116">
        <v>28.995000000000001</v>
      </c>
      <c r="K116">
        <v>0.55522854011257861</v>
      </c>
      <c r="L116">
        <v>0</v>
      </c>
      <c r="M116">
        <v>-1.2680431228700649E-2</v>
      </c>
      <c r="N116">
        <v>3.3182618772594437E-2</v>
      </c>
      <c r="O116" t="s">
        <v>48</v>
      </c>
      <c r="P116">
        <v>2.6666666666666679</v>
      </c>
      <c r="Q116">
        <v>5.7450628366247793E-2</v>
      </c>
      <c r="R116">
        <v>28.210714285714332</v>
      </c>
      <c r="S116">
        <v>0.10440362824645689</v>
      </c>
      <c r="T116">
        <v>28.65987999487189</v>
      </c>
      <c r="U116">
        <v>2.2076448992803019</v>
      </c>
      <c r="V116">
        <v>7.9444590543357122E-3</v>
      </c>
      <c r="W116">
        <v>0.1229649217459871</v>
      </c>
      <c r="X116">
        <v>8.0666666666666664E-3</v>
      </c>
      <c r="Y116">
        <v>4.0333333333333332E-3</v>
      </c>
      <c r="Z116">
        <v>28.471913693289899</v>
      </c>
      <c r="AA116">
        <v>1.3087135592944169E-2</v>
      </c>
      <c r="AB116">
        <v>1.11834683420231E-3</v>
      </c>
      <c r="AC116">
        <v>3.2264306166736582E-2</v>
      </c>
      <c r="AD116">
        <v>1.176819229347382E-3</v>
      </c>
      <c r="AE116">
        <v>3.3727497888753573E-2</v>
      </c>
      <c r="AG116">
        <f t="shared" si="12"/>
        <v>1.0999999999999996</v>
      </c>
    </row>
    <row r="117" spans="1:34" x14ac:dyDescent="0.35">
      <c r="A117" t="s">
        <v>46</v>
      </c>
      <c r="B117" t="s">
        <v>47</v>
      </c>
      <c r="C117">
        <v>14.133333333333329</v>
      </c>
      <c r="D117">
        <v>14.133333333333329</v>
      </c>
      <c r="E117">
        <v>1</v>
      </c>
      <c r="F117">
        <v>29.821428571428701</v>
      </c>
      <c r="G117">
        <v>0</v>
      </c>
      <c r="H117">
        <v>2.054382414798483</v>
      </c>
      <c r="I117">
        <v>0.19184146133938179</v>
      </c>
      <c r="J117">
        <v>28.995000000000001</v>
      </c>
      <c r="K117">
        <v>0.45512981355297638</v>
      </c>
      <c r="L117">
        <v>0</v>
      </c>
      <c r="M117">
        <v>-2.25385966014273E-3</v>
      </c>
      <c r="N117">
        <v>2.5125629208039329E-2</v>
      </c>
      <c r="O117" t="s">
        <v>48</v>
      </c>
      <c r="P117">
        <v>4.1333333333333329</v>
      </c>
      <c r="Q117">
        <v>8.9048473967684019E-2</v>
      </c>
      <c r="R117">
        <v>28.849999999999952</v>
      </c>
      <c r="S117">
        <v>0.1491197853115378</v>
      </c>
      <c r="T117">
        <v>28.92563754904663</v>
      </c>
      <c r="U117">
        <v>2.213775572077636</v>
      </c>
      <c r="V117">
        <v>8.4205549403619708E-3</v>
      </c>
      <c r="W117">
        <v>0.13050372377892661</v>
      </c>
      <c r="X117">
        <v>8.6533333333333323E-3</v>
      </c>
      <c r="Y117">
        <v>4.3266666666666662E-3</v>
      </c>
      <c r="Z117">
        <v>28.65987999487189</v>
      </c>
      <c r="AA117">
        <v>1.4164739659320229E-2</v>
      </c>
      <c r="AB117">
        <v>8.3547842746984366E-4</v>
      </c>
      <c r="AC117">
        <v>2.4915160247761518E-2</v>
      </c>
      <c r="AD117">
        <v>8.9455280308019507E-4</v>
      </c>
      <c r="AE117">
        <v>2.587551015038141E-2</v>
      </c>
      <c r="AH117">
        <f>D117-D116</f>
        <v>1.4666666666666597</v>
      </c>
    </row>
    <row r="118" spans="1:34" x14ac:dyDescent="0.35">
      <c r="A118" t="s">
        <v>46</v>
      </c>
      <c r="B118" t="s">
        <v>47</v>
      </c>
      <c r="C118">
        <v>16.850000000000001</v>
      </c>
      <c r="D118">
        <v>16.850000000000001</v>
      </c>
      <c r="E118">
        <v>1</v>
      </c>
      <c r="F118">
        <v>30.18571428571434</v>
      </c>
      <c r="G118">
        <v>0</v>
      </c>
      <c r="H118">
        <v>2.0527631351783242</v>
      </c>
      <c r="I118">
        <v>0.24480763156211449</v>
      </c>
      <c r="J118">
        <v>28.995000000000001</v>
      </c>
      <c r="K118">
        <v>0.28586437921404573</v>
      </c>
      <c r="L118">
        <v>0</v>
      </c>
      <c r="M118">
        <v>4.3422629177612831E-3</v>
      </c>
      <c r="N118">
        <v>1.531393640884581E-2</v>
      </c>
      <c r="O118" t="s">
        <v>48</v>
      </c>
      <c r="P118">
        <v>6.8500000000000014</v>
      </c>
      <c r="Q118">
        <v>0.14757630161579899</v>
      </c>
      <c r="R118">
        <v>29.821428571428701</v>
      </c>
      <c r="S118">
        <v>0.19184146133938179</v>
      </c>
      <c r="T118">
        <v>29.462627992429869</v>
      </c>
      <c r="U118">
        <v>2.2262677234586632</v>
      </c>
      <c r="V118">
        <v>9.2530286084687545E-3</v>
      </c>
      <c r="W118">
        <v>0.14371850057424329</v>
      </c>
      <c r="X118">
        <v>9.7400000000000021E-3</v>
      </c>
      <c r="Y118">
        <v>4.8700000000000011E-3</v>
      </c>
      <c r="Z118">
        <v>28.92563754904663</v>
      </c>
      <c r="AA118">
        <v>1.158551351625574E-2</v>
      </c>
      <c r="AB118">
        <v>5.2447936694817281E-4</v>
      </c>
      <c r="AC118">
        <v>1.5831784319449871E-2</v>
      </c>
      <c r="AD118">
        <v>5.5612752726378841E-4</v>
      </c>
      <c r="AE118">
        <v>1.63849784521229E-2</v>
      </c>
      <c r="AH118">
        <f t="shared" ref="AH118:AH123" si="13">D118-D117</f>
        <v>2.7166666666666721</v>
      </c>
    </row>
    <row r="119" spans="1:34" x14ac:dyDescent="0.35">
      <c r="A119" t="s">
        <v>46</v>
      </c>
      <c r="B119" t="s">
        <v>47</v>
      </c>
      <c r="C119">
        <v>22.4</v>
      </c>
      <c r="D119">
        <v>22.4</v>
      </c>
      <c r="E119">
        <v>1</v>
      </c>
      <c r="F119">
        <v>32.489285714285643</v>
      </c>
      <c r="G119">
        <v>0</v>
      </c>
      <c r="H119">
        <v>2.1363789984403891</v>
      </c>
      <c r="I119">
        <v>0.28622955080092671</v>
      </c>
      <c r="J119">
        <v>28.995000000000001</v>
      </c>
      <c r="K119">
        <v>0.28616524974016372</v>
      </c>
      <c r="L119">
        <v>0</v>
      </c>
      <c r="M119">
        <v>2.9399551136841751E-3</v>
      </c>
      <c r="N119">
        <v>3.4196864026953492E-3</v>
      </c>
      <c r="O119" t="s">
        <v>48</v>
      </c>
      <c r="P119">
        <v>12.4</v>
      </c>
      <c r="Q119">
        <v>0.26714542190305213</v>
      </c>
      <c r="R119">
        <v>30.18571428571434</v>
      </c>
      <c r="S119">
        <v>0.24480763156211449</v>
      </c>
      <c r="T119">
        <v>30.732454871426899</v>
      </c>
      <c r="U119">
        <v>2.256376503567413</v>
      </c>
      <c r="V119">
        <v>1.07472221904619E-2</v>
      </c>
      <c r="W119">
        <v>0.1673901041055427</v>
      </c>
      <c r="X119">
        <v>1.196E-2</v>
      </c>
      <c r="Y119">
        <v>5.9799999999999992E-3</v>
      </c>
      <c r="Z119">
        <v>29.462627992429869</v>
      </c>
      <c r="AA119">
        <v>1.0184127646472869E-2</v>
      </c>
      <c r="AB119">
        <v>1.173795623522832E-4</v>
      </c>
      <c r="AC119">
        <v>3.813578138281135E-3</v>
      </c>
      <c r="AD119">
        <v>1.606398135696006E-4</v>
      </c>
      <c r="AE119">
        <v>4.9368558210821792E-3</v>
      </c>
      <c r="AH119">
        <f t="shared" si="13"/>
        <v>5.5499999999999972</v>
      </c>
    </row>
    <row r="120" spans="1:34" x14ac:dyDescent="0.35">
      <c r="A120" t="s">
        <v>46</v>
      </c>
      <c r="B120" t="s">
        <v>47</v>
      </c>
      <c r="C120">
        <v>24.05</v>
      </c>
      <c r="D120">
        <v>24.05</v>
      </c>
      <c r="E120">
        <v>1</v>
      </c>
      <c r="F120">
        <v>32.9321428571429</v>
      </c>
      <c r="G120">
        <v>0</v>
      </c>
      <c r="H120">
        <v>2.119328558258994</v>
      </c>
      <c r="I120">
        <v>0.28895241215910539</v>
      </c>
      <c r="J120">
        <v>28.989628937330089</v>
      </c>
      <c r="K120">
        <v>0.22789659969534451</v>
      </c>
      <c r="L120">
        <v>0</v>
      </c>
      <c r="M120">
        <v>3.4281486036028971E-3</v>
      </c>
      <c r="N120">
        <v>2.1677443566530609E-3</v>
      </c>
      <c r="O120" t="s">
        <v>48</v>
      </c>
      <c r="P120">
        <v>14.05</v>
      </c>
      <c r="Q120">
        <v>0.30269299820466777</v>
      </c>
      <c r="R120">
        <v>32.489285714285643</v>
      </c>
      <c r="S120">
        <v>0.28622955080092671</v>
      </c>
      <c r="T120">
        <v>31.152480970689119</v>
      </c>
      <c r="U120">
        <v>2.2665157637066629</v>
      </c>
      <c r="V120">
        <v>1.113734553511684E-2</v>
      </c>
      <c r="W120">
        <v>0.17349837788625261</v>
      </c>
      <c r="X120">
        <v>1.2619999999999999E-2</v>
      </c>
      <c r="Y120">
        <v>6.3099999999999996E-3</v>
      </c>
      <c r="Z120">
        <v>30.732454871426899</v>
      </c>
      <c r="AA120">
        <v>8.5377509283628E-3</v>
      </c>
      <c r="AB120">
        <v>8.0017363418494127E-5</v>
      </c>
      <c r="AC120">
        <v>2.6351432431497689E-3</v>
      </c>
      <c r="AD120">
        <v>1.212306820646025E-4</v>
      </c>
      <c r="AE120">
        <v>3.7766365160811911E-3</v>
      </c>
      <c r="AH120">
        <f t="shared" si="13"/>
        <v>1.6500000000000021</v>
      </c>
    </row>
    <row r="121" spans="1:34" x14ac:dyDescent="0.35">
      <c r="A121" t="s">
        <v>46</v>
      </c>
      <c r="B121" t="s">
        <v>47</v>
      </c>
      <c r="C121">
        <v>25.55</v>
      </c>
      <c r="D121">
        <v>25.55</v>
      </c>
      <c r="E121">
        <v>1</v>
      </c>
      <c r="F121">
        <v>33.083662382461732</v>
      </c>
      <c r="G121">
        <v>0</v>
      </c>
      <c r="H121">
        <v>2.122927932215827</v>
      </c>
      <c r="I121">
        <v>0.29169721012126681</v>
      </c>
      <c r="J121">
        <v>29.01</v>
      </c>
      <c r="K121">
        <v>0.2049207718657497</v>
      </c>
      <c r="L121">
        <v>0</v>
      </c>
      <c r="M121">
        <v>1.007802025635504E-2</v>
      </c>
      <c r="N121">
        <v>2.083661045468459E-3</v>
      </c>
      <c r="O121" t="s">
        <v>48</v>
      </c>
      <c r="P121">
        <v>15.55</v>
      </c>
      <c r="Q121">
        <v>0.33500897666068219</v>
      </c>
      <c r="R121">
        <v>32.9321428571429</v>
      </c>
      <c r="S121">
        <v>0.28895241215910539</v>
      </c>
      <c r="T121">
        <v>31.55039960381982</v>
      </c>
      <c r="U121">
        <v>2.2762057733966632</v>
      </c>
      <c r="V121">
        <v>1.1470675357255969E-2</v>
      </c>
      <c r="W121">
        <v>0.17866248595131751</v>
      </c>
      <c r="X121">
        <v>1.3220000000000001E-2</v>
      </c>
      <c r="Y121">
        <v>6.6100000000000004E-3</v>
      </c>
      <c r="Z121">
        <v>31.152480970689119</v>
      </c>
      <c r="AA121">
        <v>1.0941243884897671E-2</v>
      </c>
      <c r="AB121">
        <v>1.0483766284824249E-4</v>
      </c>
      <c r="AC121">
        <v>3.468413842637606E-3</v>
      </c>
      <c r="AD121">
        <v>1.1973897186124521E-4</v>
      </c>
      <c r="AE121">
        <v>3.7778124103728218E-3</v>
      </c>
      <c r="AH121">
        <f t="shared" si="13"/>
        <v>1.5</v>
      </c>
    </row>
    <row r="122" spans="1:34" x14ac:dyDescent="0.35">
      <c r="A122" t="s">
        <v>46</v>
      </c>
      <c r="B122" t="s">
        <v>47</v>
      </c>
      <c r="C122">
        <v>27.016666666666669</v>
      </c>
      <c r="D122">
        <v>27.016666666666669</v>
      </c>
      <c r="E122">
        <v>1</v>
      </c>
      <c r="F122">
        <v>33.286006759061003</v>
      </c>
      <c r="G122">
        <v>0</v>
      </c>
      <c r="H122">
        <v>2.1491021298826349</v>
      </c>
      <c r="I122">
        <v>0.29474119672312388</v>
      </c>
      <c r="J122">
        <v>29.01</v>
      </c>
      <c r="K122">
        <v>0.28780825001128951</v>
      </c>
      <c r="L122">
        <v>0</v>
      </c>
      <c r="M122">
        <v>1.3584157979064079E-2</v>
      </c>
      <c r="N122">
        <v>2.5641292055137649E-3</v>
      </c>
      <c r="O122" t="s">
        <v>48</v>
      </c>
      <c r="P122">
        <v>17.016666666666669</v>
      </c>
      <c r="Q122">
        <v>0.36660682226211849</v>
      </c>
      <c r="R122">
        <v>33.083662382461732</v>
      </c>
      <c r="S122">
        <v>0.29169721012126681</v>
      </c>
      <c r="T122">
        <v>31.953854491416031</v>
      </c>
      <c r="U122">
        <v>2.2861155610842179</v>
      </c>
      <c r="V122">
        <v>1.1777178801230029E-2</v>
      </c>
      <c r="W122">
        <v>0.18334554180327939</v>
      </c>
      <c r="X122">
        <v>1.380666666666667E-2</v>
      </c>
      <c r="Y122">
        <v>6.9033333333333342E-3</v>
      </c>
      <c r="Z122">
        <v>31.55039960381982</v>
      </c>
      <c r="AA122">
        <v>1.496737650102324E-2</v>
      </c>
      <c r="AB122">
        <v>1.3300318430393911E-4</v>
      </c>
      <c r="AC122">
        <v>4.4271448917175531E-3</v>
      </c>
      <c r="AD122">
        <v>1.3595155921646471E-4</v>
      </c>
      <c r="AE122">
        <v>4.344176341084042E-3</v>
      </c>
      <c r="AH122">
        <f t="shared" si="13"/>
        <v>1.4666666666666686</v>
      </c>
    </row>
    <row r="123" spans="1:34" x14ac:dyDescent="0.35">
      <c r="A123" t="s">
        <v>46</v>
      </c>
      <c r="B123" t="s">
        <v>47</v>
      </c>
      <c r="C123">
        <v>30.05</v>
      </c>
      <c r="D123">
        <v>30.05</v>
      </c>
      <c r="E123">
        <v>1</v>
      </c>
      <c r="F123">
        <v>34.925000000000018</v>
      </c>
      <c r="G123">
        <v>0</v>
      </c>
      <c r="H123">
        <v>2.2047917658046461</v>
      </c>
      <c r="I123">
        <v>0.30615009363869439</v>
      </c>
      <c r="J123">
        <v>28.995000000000001</v>
      </c>
      <c r="K123">
        <v>0.32731180513593811</v>
      </c>
      <c r="L123">
        <v>0</v>
      </c>
      <c r="M123">
        <v>1.0058666580378539E-2</v>
      </c>
      <c r="N123">
        <v>5.5923593123353241E-3</v>
      </c>
      <c r="O123" t="s">
        <v>48</v>
      </c>
      <c r="P123">
        <v>20.05</v>
      </c>
      <c r="Q123">
        <v>0.43195691202872533</v>
      </c>
      <c r="R123">
        <v>33.286006759061003</v>
      </c>
      <c r="S123">
        <v>0.29474119672312388</v>
      </c>
      <c r="T123">
        <v>32.831594532573767</v>
      </c>
      <c r="U123">
        <v>2.307975805166663</v>
      </c>
      <c r="V123">
        <v>1.2351523014792689E-2</v>
      </c>
      <c r="W123">
        <v>0.1918565388801183</v>
      </c>
      <c r="X123">
        <v>1.502E-2</v>
      </c>
      <c r="Y123">
        <v>7.5099999999999993E-3</v>
      </c>
      <c r="Z123">
        <v>31.953854491416031</v>
      </c>
      <c r="AA123">
        <v>1.393403278476044E-2</v>
      </c>
      <c r="AB123">
        <v>2.001166067567213E-4</v>
      </c>
      <c r="AC123">
        <v>6.9890724909784964E-3</v>
      </c>
      <c r="AD123">
        <v>2.3101964944350359E-4</v>
      </c>
      <c r="AE123">
        <v>7.5847434595864398E-3</v>
      </c>
      <c r="AH123">
        <f t="shared" si="13"/>
        <v>3.0333333333333314</v>
      </c>
    </row>
    <row r="124" spans="1:34" x14ac:dyDescent="0.35">
      <c r="A124" t="s">
        <v>46</v>
      </c>
      <c r="B124" t="s">
        <v>47</v>
      </c>
      <c r="C124">
        <v>33.049999999999997</v>
      </c>
      <c r="D124">
        <v>33.049999999999997</v>
      </c>
      <c r="E124">
        <v>1</v>
      </c>
      <c r="F124">
        <v>35.325000000000017</v>
      </c>
      <c r="G124">
        <v>0</v>
      </c>
      <c r="H124">
        <v>2.2220714739205332</v>
      </c>
      <c r="I124">
        <v>0.33086514285710411</v>
      </c>
      <c r="J124">
        <v>29.01</v>
      </c>
      <c r="K124">
        <v>0.32065432667884741</v>
      </c>
      <c r="L124">
        <v>0</v>
      </c>
      <c r="M124">
        <v>5.5595336989403962E-3</v>
      </c>
      <c r="N124">
        <v>1.134058524405515E-2</v>
      </c>
      <c r="O124" t="s">
        <v>48</v>
      </c>
      <c r="P124">
        <v>23.05</v>
      </c>
      <c r="Q124">
        <v>0.49658886894075421</v>
      </c>
      <c r="R124">
        <v>34.925000000000018</v>
      </c>
      <c r="S124">
        <v>0.30615009363869439</v>
      </c>
      <c r="T124">
        <v>33.754089348342461</v>
      </c>
      <c r="U124">
        <v>2.331405828596663</v>
      </c>
      <c r="V124">
        <v>1.2843414175577149E-2</v>
      </c>
      <c r="W124">
        <v>0.19868461910526661</v>
      </c>
      <c r="X124">
        <v>1.6219999999999998E-2</v>
      </c>
      <c r="Y124">
        <v>8.1100000000000009E-3</v>
      </c>
      <c r="Z124">
        <v>32.831594532573767</v>
      </c>
      <c r="AA124">
        <v>1.157922320647989E-2</v>
      </c>
      <c r="AB124">
        <v>3.4446982477724322E-4</v>
      </c>
      <c r="AC124">
        <v>1.2168396560256121E-2</v>
      </c>
      <c r="AD124">
        <v>4.0417242599298352E-4</v>
      </c>
      <c r="AE124">
        <v>1.36424721791035E-2</v>
      </c>
      <c r="AH124">
        <f>D124-D123</f>
        <v>2.9999999999999964</v>
      </c>
    </row>
    <row r="125" spans="1:34" x14ac:dyDescent="0.35">
      <c r="A125" t="s">
        <v>46</v>
      </c>
      <c r="B125" t="s">
        <v>47</v>
      </c>
      <c r="C125">
        <v>35.716666666666661</v>
      </c>
      <c r="D125">
        <v>35.716666666666661</v>
      </c>
      <c r="E125">
        <v>1</v>
      </c>
      <c r="F125">
        <v>36.714285714285637</v>
      </c>
      <c r="G125">
        <v>0</v>
      </c>
      <c r="H125">
        <v>2.225119195750334</v>
      </c>
      <c r="I125">
        <v>0.37241089620719242</v>
      </c>
      <c r="J125">
        <v>28.98</v>
      </c>
      <c r="K125">
        <v>0.2482560989697474</v>
      </c>
      <c r="L125">
        <v>0</v>
      </c>
      <c r="M125">
        <v>5.5756162923077512E-3</v>
      </c>
      <c r="N125">
        <v>1.8683354600308372E-2</v>
      </c>
      <c r="O125" t="s">
        <v>48</v>
      </c>
      <c r="P125">
        <v>25.716666666666661</v>
      </c>
      <c r="Q125">
        <v>0.55403949730700175</v>
      </c>
      <c r="R125">
        <v>35.325000000000017</v>
      </c>
      <c r="S125">
        <v>0.33086514285710411</v>
      </c>
      <c r="T125">
        <v>34.616479342799472</v>
      </c>
      <c r="U125">
        <v>2.353743628712218</v>
      </c>
      <c r="V125">
        <v>1.3220351691949919E-2</v>
      </c>
      <c r="W125">
        <v>0.20340723172663469</v>
      </c>
      <c r="X125">
        <v>1.7286666666666669E-2</v>
      </c>
      <c r="Y125">
        <v>8.6433333333333327E-3</v>
      </c>
      <c r="Z125">
        <v>33.754089348342461</v>
      </c>
      <c r="AA125">
        <v>9.2675999979665476E-3</v>
      </c>
      <c r="AB125">
        <v>5.3430229722489905E-4</v>
      </c>
      <c r="AC125">
        <v>1.961652719811411E-2</v>
      </c>
      <c r="AD125">
        <v>6.1873601838306703E-4</v>
      </c>
      <c r="AE125">
        <v>2.141846259900344E-2</v>
      </c>
      <c r="AH125">
        <f>D125-D124</f>
        <v>2.6666666666666643</v>
      </c>
    </row>
    <row r="126" spans="1:34" x14ac:dyDescent="0.35">
      <c r="A126" t="s">
        <v>46</v>
      </c>
      <c r="B126" t="s">
        <v>47</v>
      </c>
      <c r="C126">
        <v>38.416666666666657</v>
      </c>
      <c r="D126">
        <v>38.416666666666657</v>
      </c>
      <c r="E126">
        <v>1</v>
      </c>
      <c r="F126">
        <v>36.549999999999947</v>
      </c>
      <c r="G126">
        <v>0</v>
      </c>
      <c r="H126">
        <v>2.238126974352284</v>
      </c>
      <c r="I126">
        <v>0.43705118593235048</v>
      </c>
      <c r="J126">
        <v>28.98</v>
      </c>
      <c r="K126">
        <v>9.3146115083509562E-2</v>
      </c>
      <c r="L126">
        <v>0</v>
      </c>
      <c r="M126">
        <v>8.1642084483610888E-3</v>
      </c>
      <c r="N126">
        <v>2.8044978756261729E-2</v>
      </c>
      <c r="O126" t="s">
        <v>48</v>
      </c>
      <c r="P126">
        <v>28.416666666666661</v>
      </c>
      <c r="Q126">
        <v>0.61220825852782768</v>
      </c>
      <c r="R126">
        <v>36.714285714285637</v>
      </c>
      <c r="S126">
        <v>0.37241089620719242</v>
      </c>
      <c r="T126">
        <v>35.527458522398518</v>
      </c>
      <c r="U126">
        <v>2.3778096527782182</v>
      </c>
      <c r="V126">
        <v>1.354761888358153E-2</v>
      </c>
      <c r="W126">
        <v>0.20689143201900009</v>
      </c>
      <c r="X126">
        <v>1.836666666666667E-2</v>
      </c>
      <c r="Y126">
        <v>9.1833333333333333E-3</v>
      </c>
      <c r="Z126">
        <v>34.616479342799472</v>
      </c>
      <c r="AA126">
        <v>6.1962434126638048E-3</v>
      </c>
      <c r="AB126">
        <v>8.109233377192746E-4</v>
      </c>
      <c r="AC126">
        <v>2.9639247993639449E-2</v>
      </c>
      <c r="AD126">
        <v>8.8441022452271354E-4</v>
      </c>
      <c r="AE126">
        <v>3.1420847568515868E-2</v>
      </c>
      <c r="AH126">
        <f>D126-D125</f>
        <v>2.6999999999999957</v>
      </c>
    </row>
    <row r="127" spans="1:34" x14ac:dyDescent="0.35">
      <c r="A127" s="6" t="s">
        <v>46</v>
      </c>
      <c r="B127" s="6" t="s">
        <v>47</v>
      </c>
      <c r="C127" s="6">
        <v>46.416666666666657</v>
      </c>
      <c r="D127" s="6">
        <v>46.416666666666657</v>
      </c>
      <c r="E127" s="6">
        <v>1</v>
      </c>
      <c r="F127" s="6">
        <v>37.453571428571443</v>
      </c>
      <c r="G127" s="6">
        <v>0</v>
      </c>
      <c r="H127" s="6">
        <v>2.350696964539372</v>
      </c>
      <c r="I127" s="6">
        <v>0.79202669515003699</v>
      </c>
      <c r="J127" s="6">
        <v>28.98</v>
      </c>
      <c r="K127" s="6">
        <v>0.2428851122484339</v>
      </c>
      <c r="L127" s="6">
        <v>0</v>
      </c>
      <c r="M127" s="6">
        <v>2.098979306862803E-2</v>
      </c>
      <c r="N127" s="6">
        <v>5.964752041359847E-2</v>
      </c>
      <c r="O127" s="6" t="s">
        <v>48</v>
      </c>
      <c r="P127" s="6">
        <v>36.416666666666657</v>
      </c>
      <c r="Q127" s="6">
        <v>0.78456014362657089</v>
      </c>
      <c r="R127" s="6">
        <v>36.549999999999947</v>
      </c>
      <c r="S127" s="6">
        <v>0.43705118593235048</v>
      </c>
      <c r="T127" s="6">
        <v>38.422831797520139</v>
      </c>
      <c r="U127" s="6">
        <v>2.4576763993115511</v>
      </c>
      <c r="V127" s="6">
        <v>1.4231242382489019E-2</v>
      </c>
      <c r="W127" s="6">
        <v>0.20963558680657721</v>
      </c>
      <c r="X127" s="6">
        <v>2.1566666666666661E-2</v>
      </c>
      <c r="Y127" s="6">
        <v>1.0783333333333331E-2</v>
      </c>
      <c r="Z127" s="6">
        <v>35.527458522398518</v>
      </c>
      <c r="AA127" s="6">
        <v>1.5414143947391851E-2</v>
      </c>
      <c r="AB127" s="6">
        <v>1.781396691915808E-3</v>
      </c>
      <c r="AC127" s="6">
        <v>6.6719668243289579E-2</v>
      </c>
      <c r="AD127" s="6">
        <v>1.733285414237923E-3</v>
      </c>
      <c r="AE127" s="6">
        <v>6.6597733928358729E-2</v>
      </c>
      <c r="AF127" s="6"/>
      <c r="AG127" s="6"/>
      <c r="AH127" s="7">
        <f>D127-D126</f>
        <v>8</v>
      </c>
    </row>
    <row r="128" spans="1:34" x14ac:dyDescent="0.35">
      <c r="A128" t="s">
        <v>49</v>
      </c>
      <c r="B128" t="s">
        <v>50</v>
      </c>
      <c r="C128">
        <v>0</v>
      </c>
      <c r="D128">
        <v>0</v>
      </c>
      <c r="E128">
        <v>0</v>
      </c>
      <c r="F128">
        <v>0.27400000000010749</v>
      </c>
      <c r="G128">
        <v>8.2040000000000006</v>
      </c>
      <c r="H128">
        <v>1.7518</v>
      </c>
      <c r="I128">
        <v>0</v>
      </c>
      <c r="J128">
        <v>36.989999999999988</v>
      </c>
      <c r="K128">
        <v>0.1275827253975047</v>
      </c>
      <c r="L128">
        <v>-1.730777080062796</v>
      </c>
      <c r="M128">
        <v>-3.3611906300978771E-3</v>
      </c>
      <c r="N128">
        <v>0</v>
      </c>
      <c r="O128" t="s">
        <v>48</v>
      </c>
      <c r="P128">
        <v>-10</v>
      </c>
      <c r="Q128">
        <v>-0.27210884353741499</v>
      </c>
      <c r="R128">
        <v>0.27400000000010749</v>
      </c>
      <c r="S128">
        <v>0</v>
      </c>
      <c r="T128">
        <v>0.27400000000010749</v>
      </c>
      <c r="U128">
        <v>1.7518</v>
      </c>
      <c r="V128">
        <v>0.86978687898291784</v>
      </c>
      <c r="W128">
        <v>0.23832160484141299</v>
      </c>
      <c r="X128">
        <v>0</v>
      </c>
      <c r="Y128">
        <v>0</v>
      </c>
      <c r="Z128">
        <v>0.27400000000010749</v>
      </c>
      <c r="AA128">
        <v>0.46371167782921557</v>
      </c>
      <c r="AB128">
        <v>0</v>
      </c>
      <c r="AC128">
        <v>0</v>
      </c>
      <c r="AD128">
        <v>0</v>
      </c>
      <c r="AE128">
        <v>0</v>
      </c>
    </row>
    <row r="129" spans="1:43" x14ac:dyDescent="0.35">
      <c r="A129" t="s">
        <v>49</v>
      </c>
      <c r="B129" t="s">
        <v>50</v>
      </c>
      <c r="C129">
        <v>1.1333333333333331</v>
      </c>
      <c r="D129">
        <v>1.1333333333333331</v>
      </c>
      <c r="E129">
        <v>0</v>
      </c>
      <c r="F129">
        <v>0.69666666666664179</v>
      </c>
      <c r="G129">
        <v>7.2690000000000001</v>
      </c>
      <c r="H129">
        <v>1.7447999999999999</v>
      </c>
      <c r="I129">
        <v>0</v>
      </c>
      <c r="J129">
        <v>36.989999999999988</v>
      </c>
      <c r="K129">
        <v>0.52399987060382502</v>
      </c>
      <c r="L129">
        <v>0</v>
      </c>
      <c r="M129">
        <v>-1.183845614334009E-2</v>
      </c>
      <c r="N129">
        <v>0</v>
      </c>
      <c r="O129" t="s">
        <v>48</v>
      </c>
      <c r="P129">
        <v>-8.8666666666666671</v>
      </c>
      <c r="Q129">
        <v>-0.2412698412698413</v>
      </c>
      <c r="R129">
        <v>0.27400000000010749</v>
      </c>
      <c r="S129">
        <v>0</v>
      </c>
      <c r="T129">
        <v>0.73427652483987105</v>
      </c>
      <c r="U129">
        <v>1.7518</v>
      </c>
      <c r="V129">
        <v>0.86978493999889617</v>
      </c>
      <c r="W129">
        <v>0.63866266310044528</v>
      </c>
      <c r="X129">
        <v>0</v>
      </c>
      <c r="Y129">
        <v>0</v>
      </c>
      <c r="Z129">
        <v>0.27400000000010749</v>
      </c>
      <c r="AA129">
        <v>0.74536793110716382</v>
      </c>
      <c r="AB129">
        <v>0</v>
      </c>
      <c r="AC129">
        <v>0</v>
      </c>
      <c r="AD129">
        <v>0</v>
      </c>
      <c r="AE129">
        <v>0</v>
      </c>
      <c r="AF129">
        <f>C129-C128</f>
        <v>1.1333333333333331</v>
      </c>
      <c r="AK129" t="s">
        <v>59</v>
      </c>
      <c r="AL129" t="s">
        <v>53</v>
      </c>
      <c r="AM129" t="s">
        <v>54</v>
      </c>
    </row>
    <row r="130" spans="1:43" x14ac:dyDescent="0.35">
      <c r="A130" t="s">
        <v>49</v>
      </c>
      <c r="B130" t="s">
        <v>50</v>
      </c>
      <c r="C130">
        <v>1.95</v>
      </c>
      <c r="D130">
        <v>1.95</v>
      </c>
      <c r="E130">
        <v>0</v>
      </c>
      <c r="F130">
        <v>1.346000000000203</v>
      </c>
      <c r="G130">
        <v>7.8680000000000003</v>
      </c>
      <c r="H130">
        <v>1.7358</v>
      </c>
      <c r="I130">
        <v>0</v>
      </c>
      <c r="J130">
        <v>37.005000000000003</v>
      </c>
      <c r="K130">
        <v>1.213494776126425</v>
      </c>
      <c r="L130">
        <v>-2.3707056573393772</v>
      </c>
      <c r="M130">
        <v>-7.6308553803852023E-3</v>
      </c>
      <c r="N130">
        <v>0</v>
      </c>
      <c r="O130" t="s">
        <v>48</v>
      </c>
      <c r="P130">
        <v>-8.0500000000000007</v>
      </c>
      <c r="Q130">
        <v>-0.2190476190476191</v>
      </c>
      <c r="R130">
        <v>0.69666666666664179</v>
      </c>
      <c r="S130">
        <v>0</v>
      </c>
      <c r="T130">
        <v>1.493994212599856</v>
      </c>
      <c r="U130">
        <v>1.7518</v>
      </c>
      <c r="V130">
        <v>0.86978008157896292</v>
      </c>
      <c r="W130">
        <v>1.299446408113601</v>
      </c>
      <c r="X130">
        <v>0</v>
      </c>
      <c r="Y130">
        <v>0</v>
      </c>
      <c r="Z130">
        <v>0.73427652483987105</v>
      </c>
      <c r="AA130">
        <v>0.89716013677954887</v>
      </c>
      <c r="AB130">
        <v>0</v>
      </c>
      <c r="AC130">
        <v>0</v>
      </c>
      <c r="AD130">
        <v>0</v>
      </c>
      <c r="AE130">
        <v>0</v>
      </c>
      <c r="AF130">
        <f>C130-C129</f>
        <v>0.81666666666666687</v>
      </c>
      <c r="AK130" t="s">
        <v>56</v>
      </c>
      <c r="AL130">
        <f>AL131*60</f>
        <v>48.75</v>
      </c>
      <c r="AM130">
        <f>AM131*60</f>
        <v>22.775098862686196</v>
      </c>
      <c r="AN130" s="4" t="s">
        <v>57</v>
      </c>
      <c r="AO130" s="4" t="s">
        <v>58</v>
      </c>
    </row>
    <row r="131" spans="1:43" x14ac:dyDescent="0.35">
      <c r="A131" t="s">
        <v>49</v>
      </c>
      <c r="B131" t="s">
        <v>50</v>
      </c>
      <c r="C131">
        <v>2.95</v>
      </c>
      <c r="D131">
        <v>2.95</v>
      </c>
      <c r="E131">
        <v>0</v>
      </c>
      <c r="F131">
        <v>3.026136363636255</v>
      </c>
      <c r="G131">
        <v>2.2829999999999999</v>
      </c>
      <c r="H131">
        <v>1.7299193633952259</v>
      </c>
      <c r="I131">
        <v>0</v>
      </c>
      <c r="J131">
        <v>37.020000000000003</v>
      </c>
      <c r="K131">
        <v>2.081851096411961</v>
      </c>
      <c r="L131">
        <v>-4.4481654880226147</v>
      </c>
      <c r="M131">
        <v>6.973448994535756E-3</v>
      </c>
      <c r="N131">
        <v>0</v>
      </c>
      <c r="O131" t="s">
        <v>48</v>
      </c>
      <c r="P131">
        <v>-7.05</v>
      </c>
      <c r="Q131">
        <v>-0.19183673469387749</v>
      </c>
      <c r="R131">
        <v>1.346000000000203</v>
      </c>
      <c r="S131">
        <v>0</v>
      </c>
      <c r="T131">
        <v>3.5651687097500999</v>
      </c>
      <c r="U131">
        <v>1.7518</v>
      </c>
      <c r="V131">
        <v>0.86963470563760725</v>
      </c>
      <c r="W131">
        <v>3.100394441451936</v>
      </c>
      <c r="X131">
        <v>0</v>
      </c>
      <c r="Y131">
        <v>0</v>
      </c>
      <c r="Z131">
        <v>1.493994212599856</v>
      </c>
      <c r="AA131">
        <v>0.69198788568369352</v>
      </c>
      <c r="AB131">
        <v>0</v>
      </c>
      <c r="AC131">
        <v>0</v>
      </c>
      <c r="AD131">
        <v>0</v>
      </c>
      <c r="AE131">
        <v>0</v>
      </c>
      <c r="AF131">
        <f>C131-C130</f>
        <v>1.0000000000000002</v>
      </c>
      <c r="AK131" t="s">
        <v>55</v>
      </c>
      <c r="AL131">
        <f>AVERAGE(AF3:AF159)</f>
        <v>0.8125</v>
      </c>
      <c r="AM131">
        <f>_xlfn.STDEV.S(AF3:AF159)</f>
        <v>0.37958498104476995</v>
      </c>
      <c r="AN131">
        <f>AL131+AM131</f>
        <v>1.19208498104477</v>
      </c>
      <c r="AO131">
        <f>AL131-AM131</f>
        <v>0.43291501895523005</v>
      </c>
    </row>
    <row r="132" spans="1:43" x14ac:dyDescent="0.35">
      <c r="A132" t="s">
        <v>49</v>
      </c>
      <c r="B132" t="s">
        <v>50</v>
      </c>
      <c r="C132">
        <v>4.1666666666666661</v>
      </c>
      <c r="D132">
        <v>4.1666666666666661</v>
      </c>
      <c r="E132">
        <v>0</v>
      </c>
      <c r="F132">
        <v>5.8857142857142248</v>
      </c>
      <c r="G132">
        <v>0</v>
      </c>
      <c r="H132">
        <v>1.755331166511884</v>
      </c>
      <c r="I132">
        <v>0</v>
      </c>
      <c r="J132">
        <v>36.989999999999988</v>
      </c>
      <c r="K132">
        <v>2.855802075840205</v>
      </c>
      <c r="L132">
        <v>-0.83078950120255313</v>
      </c>
      <c r="M132">
        <v>3.065203139067928E-2</v>
      </c>
      <c r="N132">
        <v>0</v>
      </c>
      <c r="O132" t="s">
        <v>48</v>
      </c>
      <c r="P132">
        <v>-5.8333333333333339</v>
      </c>
      <c r="Q132">
        <v>-0.15873015873015869</v>
      </c>
      <c r="R132">
        <v>3.026136363636255</v>
      </c>
      <c r="S132">
        <v>0</v>
      </c>
      <c r="T132">
        <v>5.4042497548121284</v>
      </c>
      <c r="U132">
        <v>1.774655578403517</v>
      </c>
      <c r="V132">
        <v>0.56093888749535459</v>
      </c>
      <c r="W132">
        <v>2.768548241906347</v>
      </c>
      <c r="X132">
        <v>8.6333333333333331E-2</v>
      </c>
      <c r="Y132">
        <v>4.3166666666666673E-2</v>
      </c>
      <c r="Z132">
        <v>3.5651687097500999</v>
      </c>
      <c r="AA132">
        <v>0.5026713404005696</v>
      </c>
      <c r="AB132">
        <v>0</v>
      </c>
      <c r="AC132">
        <v>0</v>
      </c>
      <c r="AD132">
        <v>0</v>
      </c>
      <c r="AE132">
        <v>0</v>
      </c>
      <c r="AG132">
        <f t="shared" ref="AG132:AG135" si="14">C132-C131</f>
        <v>1.2166666666666659</v>
      </c>
      <c r="AL132" t="s">
        <v>51</v>
      </c>
      <c r="AM132" t="s">
        <v>52</v>
      </c>
    </row>
    <row r="133" spans="1:43" x14ac:dyDescent="0.35">
      <c r="A133" t="s">
        <v>49</v>
      </c>
      <c r="B133" t="s">
        <v>50</v>
      </c>
      <c r="C133">
        <v>5.1333333333333346</v>
      </c>
      <c r="D133">
        <v>5.1333333333333346</v>
      </c>
      <c r="E133">
        <v>0</v>
      </c>
      <c r="F133">
        <v>8.6428571428571423</v>
      </c>
      <c r="G133">
        <v>0</v>
      </c>
      <c r="H133">
        <v>1.790807714034016</v>
      </c>
      <c r="I133">
        <v>0</v>
      </c>
      <c r="J133">
        <v>36.989999999999988</v>
      </c>
      <c r="K133">
        <v>3.302799915871411</v>
      </c>
      <c r="L133">
        <v>0</v>
      </c>
      <c r="M133">
        <v>5.2568314467898093E-2</v>
      </c>
      <c r="N133">
        <v>0</v>
      </c>
      <c r="O133" t="s">
        <v>48</v>
      </c>
      <c r="P133">
        <v>-4.8666666666666654</v>
      </c>
      <c r="Q133">
        <v>-0.13242630385487519</v>
      </c>
      <c r="R133">
        <v>5.8857142857142248</v>
      </c>
      <c r="S133">
        <v>0</v>
      </c>
      <c r="T133">
        <v>8.4419953414074733</v>
      </c>
      <c r="U133">
        <v>1.821055624803517</v>
      </c>
      <c r="V133">
        <v>0.4282982830769928</v>
      </c>
      <c r="W133">
        <v>3.1258457292862829</v>
      </c>
      <c r="X133">
        <v>0.1056666666666667</v>
      </c>
      <c r="Y133">
        <v>5.283333333333335E-2</v>
      </c>
      <c r="Z133">
        <v>5.4042497548121284</v>
      </c>
      <c r="AA133">
        <v>0.41149666662644069</v>
      </c>
      <c r="AB133">
        <v>0</v>
      </c>
      <c r="AC133">
        <v>0</v>
      </c>
      <c r="AD133">
        <v>0</v>
      </c>
      <c r="AE133">
        <v>0</v>
      </c>
      <c r="AG133">
        <f t="shared" si="14"/>
        <v>0.96666666666666856</v>
      </c>
      <c r="AK133" t="s">
        <v>55</v>
      </c>
      <c r="AL133">
        <f>MAX(AF3:AF159)</f>
        <v>2.466666666666669</v>
      </c>
      <c r="AM133">
        <f>MIN(AF3:AF159)</f>
        <v>0.43333333333333224</v>
      </c>
    </row>
    <row r="134" spans="1:43" x14ac:dyDescent="0.35">
      <c r="A134" t="s">
        <v>49</v>
      </c>
      <c r="B134" t="s">
        <v>50</v>
      </c>
      <c r="C134">
        <v>6.1333333333333329</v>
      </c>
      <c r="D134">
        <v>6.1333333333333329</v>
      </c>
      <c r="E134">
        <v>0</v>
      </c>
      <c r="F134">
        <v>12.06428571428577</v>
      </c>
      <c r="G134">
        <v>0</v>
      </c>
      <c r="H134">
        <v>1.8536129412410871</v>
      </c>
      <c r="I134">
        <v>0</v>
      </c>
      <c r="J134">
        <v>36.989999999999988</v>
      </c>
      <c r="K134">
        <v>3.7289185386178039</v>
      </c>
      <c r="L134">
        <v>0</v>
      </c>
      <c r="M134">
        <v>7.6441684875783164E-2</v>
      </c>
      <c r="N134">
        <v>0</v>
      </c>
      <c r="O134" t="s">
        <v>48</v>
      </c>
      <c r="P134">
        <v>-3.8666666666666671</v>
      </c>
      <c r="Q134">
        <v>-0.10521541950113381</v>
      </c>
      <c r="R134">
        <v>8.6428571428571423</v>
      </c>
      <c r="S134">
        <v>0</v>
      </c>
      <c r="T134">
        <v>12.01818119841178</v>
      </c>
      <c r="U134">
        <v>1.8788890159701841</v>
      </c>
      <c r="V134">
        <v>0.34678086540927472</v>
      </c>
      <c r="W134">
        <v>3.363857298153381</v>
      </c>
      <c r="X134">
        <v>0.12566666666666659</v>
      </c>
      <c r="Y134">
        <v>6.2833333333333324E-2</v>
      </c>
      <c r="Z134">
        <v>8.4419953414074733</v>
      </c>
      <c r="AA134">
        <v>0.35032667801810191</v>
      </c>
      <c r="AB134">
        <v>0</v>
      </c>
      <c r="AC134">
        <v>0</v>
      </c>
      <c r="AD134">
        <v>0</v>
      </c>
      <c r="AE134">
        <v>0</v>
      </c>
      <c r="AG134">
        <f t="shared" si="14"/>
        <v>0.99999999999999822</v>
      </c>
    </row>
    <row r="135" spans="1:43" x14ac:dyDescent="0.35">
      <c r="A135" t="s">
        <v>49</v>
      </c>
      <c r="B135" t="s">
        <v>50</v>
      </c>
      <c r="C135">
        <v>7</v>
      </c>
      <c r="D135">
        <v>7</v>
      </c>
      <c r="E135">
        <v>0</v>
      </c>
      <c r="F135">
        <v>15.77142857142857</v>
      </c>
      <c r="G135">
        <v>0</v>
      </c>
      <c r="H135">
        <v>1.916039061041396</v>
      </c>
      <c r="I135">
        <v>0</v>
      </c>
      <c r="J135">
        <v>37.034999999999997</v>
      </c>
      <c r="K135">
        <v>3.583234336617672</v>
      </c>
      <c r="L135">
        <v>0</v>
      </c>
      <c r="M135">
        <v>9.9164416695769197E-2</v>
      </c>
      <c r="N135">
        <v>0</v>
      </c>
      <c r="O135" t="s">
        <v>48</v>
      </c>
      <c r="P135">
        <v>-3</v>
      </c>
      <c r="Q135">
        <v>-8.1632653061224483E-2</v>
      </c>
      <c r="R135">
        <v>12.06428571428577</v>
      </c>
      <c r="S135">
        <v>0</v>
      </c>
      <c r="T135">
        <v>15.40208363976879</v>
      </c>
      <c r="U135">
        <v>1.9371001852924059</v>
      </c>
      <c r="V135">
        <v>0.29866125823511042</v>
      </c>
      <c r="W135">
        <v>3.4629979100489279</v>
      </c>
      <c r="X135">
        <v>0.14299999999999999</v>
      </c>
      <c r="Y135">
        <v>7.1500000000000008E-2</v>
      </c>
      <c r="Z135">
        <v>12.01818119841178</v>
      </c>
      <c r="AA135">
        <v>0.27895273280896349</v>
      </c>
      <c r="AB135">
        <v>0</v>
      </c>
      <c r="AC135">
        <v>0</v>
      </c>
      <c r="AD135">
        <v>0</v>
      </c>
      <c r="AE135">
        <v>0</v>
      </c>
      <c r="AG135">
        <f t="shared" si="14"/>
        <v>0.86666666666666714</v>
      </c>
    </row>
    <row r="136" spans="1:43" x14ac:dyDescent="0.35">
      <c r="A136" t="s">
        <v>49</v>
      </c>
      <c r="B136" t="s">
        <v>50</v>
      </c>
      <c r="C136">
        <v>8.033333333333335</v>
      </c>
      <c r="D136">
        <v>8.033333333333335</v>
      </c>
      <c r="E136">
        <v>0</v>
      </c>
      <c r="F136">
        <v>19.10357142857136</v>
      </c>
      <c r="G136">
        <v>0</v>
      </c>
      <c r="H136">
        <v>2.047561806578555</v>
      </c>
      <c r="I136">
        <v>0</v>
      </c>
      <c r="J136">
        <v>36.975000000000001</v>
      </c>
      <c r="K136">
        <v>2.9540487300356442</v>
      </c>
      <c r="L136">
        <v>0</v>
      </c>
      <c r="M136">
        <v>0.11014103509930349</v>
      </c>
      <c r="N136">
        <v>0</v>
      </c>
      <c r="O136" t="s">
        <v>48</v>
      </c>
      <c r="P136">
        <v>-1.966666666666665</v>
      </c>
      <c r="Q136">
        <v>-5.3514739229024888E-2</v>
      </c>
      <c r="R136">
        <v>15.77142857142857</v>
      </c>
      <c r="S136">
        <v>0</v>
      </c>
      <c r="T136">
        <v>19.693490553195879</v>
      </c>
      <c r="U136">
        <v>2.016322486736851</v>
      </c>
      <c r="V136">
        <v>0.25683351993390557</v>
      </c>
      <c r="W136">
        <v>3.4594105786241589</v>
      </c>
      <c r="X136">
        <v>0.16366666666666671</v>
      </c>
      <c r="Y136">
        <v>8.1833333333333355E-2</v>
      </c>
      <c r="Z136">
        <v>15.40208363976879</v>
      </c>
      <c r="AA136">
        <v>0.20842463451210311</v>
      </c>
      <c r="AB136">
        <v>0</v>
      </c>
      <c r="AC136">
        <v>0</v>
      </c>
      <c r="AD136">
        <v>0</v>
      </c>
      <c r="AE136">
        <v>0</v>
      </c>
      <c r="AG136">
        <f>C136-C135</f>
        <v>1.033333333333335</v>
      </c>
      <c r="AK136" t="s">
        <v>59</v>
      </c>
      <c r="AL136" t="s">
        <v>53</v>
      </c>
      <c r="AM136" t="s">
        <v>54</v>
      </c>
    </row>
    <row r="137" spans="1:43" x14ac:dyDescent="0.35">
      <c r="A137" t="s">
        <v>49</v>
      </c>
      <c r="B137" t="s">
        <v>50</v>
      </c>
      <c r="C137">
        <v>8.6499999999999986</v>
      </c>
      <c r="D137">
        <v>8.6499999999999986</v>
      </c>
      <c r="E137">
        <v>0</v>
      </c>
      <c r="F137">
        <v>21.08928571428573</v>
      </c>
      <c r="G137">
        <v>0</v>
      </c>
      <c r="H137">
        <v>2.1294699395006078</v>
      </c>
      <c r="I137">
        <v>0</v>
      </c>
      <c r="J137">
        <v>36.989999999999988</v>
      </c>
      <c r="K137">
        <v>2.1182041784352781</v>
      </c>
      <c r="L137">
        <v>0</v>
      </c>
      <c r="M137">
        <v>7.3986769142703079E-2</v>
      </c>
      <c r="N137">
        <v>0</v>
      </c>
      <c r="O137" t="s">
        <v>48</v>
      </c>
      <c r="P137">
        <v>-1.350000000000001</v>
      </c>
      <c r="Q137">
        <v>-3.6734693877551058E-2</v>
      </c>
      <c r="R137">
        <v>19.10357142857136</v>
      </c>
      <c r="S137">
        <v>0</v>
      </c>
      <c r="T137">
        <v>22.34964322948165</v>
      </c>
      <c r="U137">
        <v>2.0686878168799061</v>
      </c>
      <c r="V137">
        <v>0.2372035556461162</v>
      </c>
      <c r="W137">
        <v>3.3999499726179452</v>
      </c>
      <c r="X137">
        <v>0.17599999999999999</v>
      </c>
      <c r="Y137">
        <v>8.7999999999999995E-2</v>
      </c>
      <c r="Z137">
        <v>19.693490553195879</v>
      </c>
      <c r="AA137">
        <v>0.13518404419447419</v>
      </c>
      <c r="AB137">
        <v>0</v>
      </c>
      <c r="AC137">
        <v>0</v>
      </c>
      <c r="AD137">
        <v>0</v>
      </c>
      <c r="AE137">
        <v>0</v>
      </c>
      <c r="AG137">
        <f>C137-C136</f>
        <v>0.61666666666666359</v>
      </c>
      <c r="AK137" t="s">
        <v>56</v>
      </c>
      <c r="AL137">
        <f>AL138*60</f>
        <v>54.080000000000005</v>
      </c>
      <c r="AM137">
        <f>AM138*60</f>
        <v>16.740321602255356</v>
      </c>
      <c r="AN137" s="4" t="s">
        <v>57</v>
      </c>
      <c r="AO137" s="4" t="s">
        <v>58</v>
      </c>
    </row>
    <row r="138" spans="1:43" x14ac:dyDescent="0.35">
      <c r="A138" t="s">
        <v>49</v>
      </c>
      <c r="B138" t="s">
        <v>50</v>
      </c>
      <c r="C138">
        <v>9.35</v>
      </c>
      <c r="D138">
        <v>9.35</v>
      </c>
      <c r="E138">
        <v>0</v>
      </c>
      <c r="F138">
        <v>21.792857142857169</v>
      </c>
      <c r="G138">
        <v>0</v>
      </c>
      <c r="H138">
        <v>2.1452947156519619</v>
      </c>
      <c r="I138">
        <v>0</v>
      </c>
      <c r="J138">
        <v>28.025000000000009</v>
      </c>
      <c r="K138">
        <v>1.247543009697327</v>
      </c>
      <c r="L138">
        <v>0</v>
      </c>
      <c r="M138">
        <v>2.730308456683142E-2</v>
      </c>
      <c r="N138">
        <v>0</v>
      </c>
      <c r="O138" t="s">
        <v>48</v>
      </c>
      <c r="P138">
        <v>-0.65000000000000036</v>
      </c>
      <c r="Q138">
        <v>-1.7687074829931981E-2</v>
      </c>
      <c r="R138">
        <v>21.08928571428573</v>
      </c>
      <c r="S138">
        <v>0</v>
      </c>
      <c r="T138">
        <v>25.42114791934122</v>
      </c>
      <c r="U138">
        <v>2.132737880929906</v>
      </c>
      <c r="V138">
        <v>0.2183710078857313</v>
      </c>
      <c r="W138">
        <v>3.286538586079387</v>
      </c>
      <c r="X138">
        <v>0.19</v>
      </c>
      <c r="Y138">
        <v>9.5000000000000001E-2</v>
      </c>
      <c r="Z138">
        <v>22.34964322948165</v>
      </c>
      <c r="AA138">
        <v>6.9972462393868021E-2</v>
      </c>
      <c r="AB138">
        <v>0</v>
      </c>
      <c r="AC138">
        <v>0</v>
      </c>
      <c r="AD138">
        <v>0</v>
      </c>
      <c r="AE138">
        <v>0</v>
      </c>
      <c r="AH138">
        <f>D138-D137</f>
        <v>0.70000000000000107</v>
      </c>
      <c r="AK138" t="s">
        <v>55</v>
      </c>
      <c r="AL138">
        <f>AVERAGE(AG3:AG164)</f>
        <v>0.90133333333333343</v>
      </c>
      <c r="AM138">
        <f>_xlfn.STDEV.S(AG3:AG164)</f>
        <v>0.2790053600375893</v>
      </c>
      <c r="AN138">
        <f>AL138+AM138</f>
        <v>1.1803386933709228</v>
      </c>
      <c r="AO138">
        <f>AL138-AM138</f>
        <v>0.62232797329574407</v>
      </c>
    </row>
    <row r="139" spans="1:43" x14ac:dyDescent="0.35">
      <c r="A139" t="s">
        <v>49</v>
      </c>
      <c r="B139" t="s">
        <v>50</v>
      </c>
      <c r="C139">
        <v>10.08333333333333</v>
      </c>
      <c r="D139">
        <v>10.08333333333333</v>
      </c>
      <c r="E139">
        <v>0</v>
      </c>
      <c r="F139">
        <v>22.741599544330882</v>
      </c>
      <c r="G139">
        <v>0</v>
      </c>
      <c r="H139">
        <v>2.1517548773179929</v>
      </c>
      <c r="I139">
        <v>0</v>
      </c>
      <c r="J139">
        <v>28.995000000000001</v>
      </c>
      <c r="K139">
        <v>0.85329921576168366</v>
      </c>
      <c r="L139">
        <v>0</v>
      </c>
      <c r="M139">
        <v>1.43222143423807E-2</v>
      </c>
      <c r="N139">
        <v>0</v>
      </c>
      <c r="O139" t="s">
        <v>48</v>
      </c>
      <c r="P139">
        <v>8.3333333333332149E-2</v>
      </c>
      <c r="Q139">
        <v>2.2675736961450931E-3</v>
      </c>
      <c r="R139">
        <v>21.792857142857169</v>
      </c>
      <c r="S139">
        <v>0</v>
      </c>
      <c r="T139">
        <v>28.31815807004039</v>
      </c>
      <c r="U139">
        <v>2.1968928062064839</v>
      </c>
      <c r="V139">
        <v>1.041196717294989E-2</v>
      </c>
      <c r="W139">
        <v>0.20418739389039159</v>
      </c>
      <c r="X139">
        <v>7.0333333333333333E-3</v>
      </c>
      <c r="Y139">
        <v>3.5166666666666671E-3</v>
      </c>
      <c r="Z139">
        <v>25.42114791934122</v>
      </c>
      <c r="AA139">
        <v>4.4177574902699281E-2</v>
      </c>
      <c r="AB139">
        <v>0</v>
      </c>
      <c r="AC139">
        <v>0</v>
      </c>
      <c r="AD139">
        <v>0</v>
      </c>
      <c r="AE139">
        <v>0</v>
      </c>
      <c r="AH139">
        <f t="shared" ref="AH139:AH144" si="15">D139-D138</f>
        <v>0.73333333333333073</v>
      </c>
      <c r="AL139" t="s">
        <v>51</v>
      </c>
      <c r="AM139" t="s">
        <v>52</v>
      </c>
    </row>
    <row r="140" spans="1:43" x14ac:dyDescent="0.35">
      <c r="A140" t="s">
        <v>49</v>
      </c>
      <c r="B140" t="s">
        <v>50</v>
      </c>
      <c r="C140">
        <v>11.2</v>
      </c>
      <c r="D140">
        <v>11.2</v>
      </c>
      <c r="E140">
        <v>0</v>
      </c>
      <c r="F140">
        <v>22.971087675282959</v>
      </c>
      <c r="G140">
        <v>0</v>
      </c>
      <c r="H140">
        <v>2.163697271557409</v>
      </c>
      <c r="I140">
        <v>0</v>
      </c>
      <c r="J140">
        <v>28.995000000000001</v>
      </c>
      <c r="K140">
        <v>0.49558945251740361</v>
      </c>
      <c r="L140">
        <v>0</v>
      </c>
      <c r="M140">
        <v>9.9118908915089496E-3</v>
      </c>
      <c r="N140">
        <v>0</v>
      </c>
      <c r="O140" t="s">
        <v>48</v>
      </c>
      <c r="P140">
        <v>1.2000000000000011</v>
      </c>
      <c r="Q140">
        <v>3.2653061224489827E-2</v>
      </c>
      <c r="R140">
        <v>22.741599544330882</v>
      </c>
      <c r="S140">
        <v>0</v>
      </c>
      <c r="T140">
        <v>28.49544506515976</v>
      </c>
      <c r="U140">
        <v>2.2009444491470109</v>
      </c>
      <c r="V140">
        <v>1.098357032200971E-2</v>
      </c>
      <c r="W140">
        <v>0.21613878570458389</v>
      </c>
      <c r="X140">
        <v>7.4800000000000014E-3</v>
      </c>
      <c r="Y140">
        <v>3.7399999999999998E-3</v>
      </c>
      <c r="Z140">
        <v>28.31815807004039</v>
      </c>
      <c r="AA140">
        <v>2.6155484958556449E-2</v>
      </c>
      <c r="AB140">
        <v>0</v>
      </c>
      <c r="AC140">
        <v>0</v>
      </c>
      <c r="AD140">
        <v>0</v>
      </c>
      <c r="AE140">
        <v>0</v>
      </c>
      <c r="AH140">
        <f t="shared" si="15"/>
        <v>1.1166666666666689</v>
      </c>
      <c r="AK140" t="s">
        <v>55</v>
      </c>
      <c r="AL140">
        <f>MAX(AG3:AG164)</f>
        <v>1.6999999999999993</v>
      </c>
      <c r="AM140">
        <f>MIN(AG3:AG164)</f>
        <v>0.45000000000000284</v>
      </c>
    </row>
    <row r="141" spans="1:43" x14ac:dyDescent="0.35">
      <c r="A141" t="s">
        <v>49</v>
      </c>
      <c r="B141" t="s">
        <v>50</v>
      </c>
      <c r="C141">
        <v>12.66666666666667</v>
      </c>
      <c r="D141">
        <v>12.66666666666667</v>
      </c>
      <c r="E141">
        <v>0</v>
      </c>
      <c r="F141">
        <v>24.125000000000082</v>
      </c>
      <c r="G141">
        <v>0</v>
      </c>
      <c r="H141">
        <v>2.1823146545158498</v>
      </c>
      <c r="I141">
        <v>0</v>
      </c>
      <c r="J141">
        <v>28.987901632018339</v>
      </c>
      <c r="K141">
        <v>0.52719457275818604</v>
      </c>
      <c r="L141">
        <v>0</v>
      </c>
      <c r="M141">
        <v>1.009690660006621E-2</v>
      </c>
      <c r="N141">
        <v>0</v>
      </c>
      <c r="O141" t="s">
        <v>48</v>
      </c>
      <c r="P141">
        <v>2.6666666666666661</v>
      </c>
      <c r="Q141">
        <v>7.2562358276643979E-2</v>
      </c>
      <c r="R141">
        <v>22.971087675282959</v>
      </c>
      <c r="S141">
        <v>0</v>
      </c>
      <c r="T141">
        <v>28.74377626618266</v>
      </c>
      <c r="U141">
        <v>2.2066448992918999</v>
      </c>
      <c r="V141">
        <v>1.1717803913742631E-2</v>
      </c>
      <c r="W141">
        <v>0.2317374616169707</v>
      </c>
      <c r="X141">
        <v>8.0666666666666664E-3</v>
      </c>
      <c r="Y141">
        <v>4.0333333333333332E-3</v>
      </c>
      <c r="Z141">
        <v>28.49544506515976</v>
      </c>
      <c r="AA141">
        <v>2.647932083128075E-2</v>
      </c>
      <c r="AB141">
        <v>0</v>
      </c>
      <c r="AC141">
        <v>0</v>
      </c>
      <c r="AD141">
        <v>0</v>
      </c>
      <c r="AE141">
        <v>0</v>
      </c>
      <c r="AH141">
        <f t="shared" si="15"/>
        <v>1.4666666666666703</v>
      </c>
    </row>
    <row r="142" spans="1:43" x14ac:dyDescent="0.35">
      <c r="A142" t="s">
        <v>49</v>
      </c>
      <c r="B142" t="s">
        <v>50</v>
      </c>
      <c r="C142">
        <v>13.85</v>
      </c>
      <c r="D142">
        <v>13.85</v>
      </c>
      <c r="E142">
        <v>0</v>
      </c>
      <c r="F142">
        <v>24.57500000000017</v>
      </c>
      <c r="G142">
        <v>0</v>
      </c>
      <c r="H142">
        <v>2.193791961026335</v>
      </c>
      <c r="I142">
        <v>0</v>
      </c>
      <c r="J142">
        <v>28.98710002854261</v>
      </c>
      <c r="K142">
        <v>0.4106539365163594</v>
      </c>
      <c r="L142">
        <v>0</v>
      </c>
      <c r="M142">
        <v>1.080044764312056E-2</v>
      </c>
      <c r="N142">
        <v>0</v>
      </c>
      <c r="O142" t="s">
        <v>48</v>
      </c>
      <c r="P142">
        <v>3.8499999999999979</v>
      </c>
      <c r="Q142">
        <v>0.1047619047619047</v>
      </c>
      <c r="R142">
        <v>24.125000000000082</v>
      </c>
      <c r="S142">
        <v>0</v>
      </c>
      <c r="T142">
        <v>28.956768103639519</v>
      </c>
      <c r="U142">
        <v>2.2115577097602621</v>
      </c>
      <c r="V142">
        <v>1.228108243496568E-2</v>
      </c>
      <c r="W142">
        <v>0.24380298082219221</v>
      </c>
      <c r="X142">
        <v>8.539999999999999E-3</v>
      </c>
      <c r="Y142">
        <v>4.2699999999999986E-3</v>
      </c>
      <c r="Z142">
        <v>28.74377626618266</v>
      </c>
      <c r="AA142">
        <v>2.1633418202859429E-2</v>
      </c>
      <c r="AB142">
        <v>0</v>
      </c>
      <c r="AC142">
        <v>0</v>
      </c>
      <c r="AD142">
        <v>0</v>
      </c>
      <c r="AE142">
        <v>0</v>
      </c>
      <c r="AH142">
        <f t="shared" si="15"/>
        <v>1.18333333333333</v>
      </c>
    </row>
    <row r="143" spans="1:43" x14ac:dyDescent="0.35">
      <c r="A143" t="s">
        <v>49</v>
      </c>
      <c r="B143" t="s">
        <v>50</v>
      </c>
      <c r="C143">
        <v>15.31666666666667</v>
      </c>
      <c r="D143">
        <v>15.31666666666667</v>
      </c>
      <c r="E143">
        <v>0</v>
      </c>
      <c r="F143">
        <v>25.067857142857211</v>
      </c>
      <c r="G143">
        <v>0</v>
      </c>
      <c r="H143">
        <v>2.214828125862959</v>
      </c>
      <c r="I143">
        <v>0</v>
      </c>
      <c r="J143">
        <v>28.98</v>
      </c>
      <c r="K143">
        <v>0.37563031961530552</v>
      </c>
      <c r="L143">
        <v>0</v>
      </c>
      <c r="M143">
        <v>9.872310665280869E-3</v>
      </c>
      <c r="N143">
        <v>0</v>
      </c>
      <c r="O143" t="s">
        <v>48</v>
      </c>
      <c r="P143">
        <v>5.31666666666667</v>
      </c>
      <c r="Q143">
        <v>0.14467120181405899</v>
      </c>
      <c r="R143">
        <v>24.57500000000017</v>
      </c>
      <c r="S143">
        <v>0</v>
      </c>
      <c r="T143">
        <v>29.2361661686984</v>
      </c>
      <c r="U143">
        <v>2.218035494015818</v>
      </c>
      <c r="V143">
        <v>1.2967376695170519E-2</v>
      </c>
      <c r="W143">
        <v>0.25881679763296278</v>
      </c>
      <c r="X143">
        <v>9.1266666666666683E-3</v>
      </c>
      <c r="Y143">
        <v>4.5633333333333342E-3</v>
      </c>
      <c r="Z143">
        <v>28.956768103639519</v>
      </c>
      <c r="AA143">
        <v>1.944191146369945E-2</v>
      </c>
      <c r="AB143">
        <v>0</v>
      </c>
      <c r="AC143">
        <v>0</v>
      </c>
      <c r="AD143">
        <v>0</v>
      </c>
      <c r="AE143">
        <v>0</v>
      </c>
      <c r="AH143">
        <f t="shared" si="15"/>
        <v>1.4666666666666703</v>
      </c>
      <c r="AK143" t="s">
        <v>59</v>
      </c>
      <c r="AL143" t="s">
        <v>53</v>
      </c>
      <c r="AM143" t="s">
        <v>54</v>
      </c>
    </row>
    <row r="144" spans="1:43" x14ac:dyDescent="0.35">
      <c r="A144" t="s">
        <v>49</v>
      </c>
      <c r="B144" t="s">
        <v>50</v>
      </c>
      <c r="C144">
        <v>17.983333333333331</v>
      </c>
      <c r="D144">
        <v>17.983333333333331</v>
      </c>
      <c r="E144">
        <v>0</v>
      </c>
      <c r="F144">
        <v>25.90000000000013</v>
      </c>
      <c r="G144">
        <v>0</v>
      </c>
      <c r="H144">
        <v>2.2140240960700521</v>
      </c>
      <c r="I144">
        <v>0</v>
      </c>
      <c r="J144">
        <v>28.98</v>
      </c>
      <c r="K144">
        <v>0.32985594249450828</v>
      </c>
      <c r="L144">
        <v>0</v>
      </c>
      <c r="M144">
        <v>8.5181337788954037E-3</v>
      </c>
      <c r="N144">
        <v>0</v>
      </c>
      <c r="O144" t="s">
        <v>48</v>
      </c>
      <c r="P144">
        <v>7.9833333333333343</v>
      </c>
      <c r="Q144">
        <v>0.21723356009070299</v>
      </c>
      <c r="R144">
        <v>25.067857142857211</v>
      </c>
      <c r="S144">
        <v>0</v>
      </c>
      <c r="T144">
        <v>29.78688303253967</v>
      </c>
      <c r="U144">
        <v>2.2309155068958169</v>
      </c>
      <c r="V144">
        <v>1.4133092951655119E-2</v>
      </c>
      <c r="W144">
        <v>0.28488077443627341</v>
      </c>
      <c r="X144">
        <v>1.019333333333333E-2</v>
      </c>
      <c r="Y144">
        <v>5.0966666666666669E-3</v>
      </c>
      <c r="Z144">
        <v>29.2361661686984</v>
      </c>
      <c r="AA144">
        <v>1.6583104366877911E-2</v>
      </c>
      <c r="AB144">
        <v>0</v>
      </c>
      <c r="AC144">
        <v>0</v>
      </c>
      <c r="AD144">
        <v>0</v>
      </c>
      <c r="AE144">
        <v>0</v>
      </c>
      <c r="AH144">
        <f t="shared" si="15"/>
        <v>2.6666666666666607</v>
      </c>
      <c r="AK144" t="s">
        <v>56</v>
      </c>
      <c r="AL144">
        <f>(AL145-0)*60</f>
        <v>124.7530864197531</v>
      </c>
      <c r="AM144">
        <f>(AM145-0)*60</f>
        <v>89.165931115000078</v>
      </c>
      <c r="AN144" s="4" t="s">
        <v>57</v>
      </c>
      <c r="AO144" s="4" t="s">
        <v>58</v>
      </c>
      <c r="AQ144">
        <v>0.54803718199999996</v>
      </c>
    </row>
    <row r="145" spans="1:43" x14ac:dyDescent="0.35">
      <c r="A145" t="s">
        <v>49</v>
      </c>
      <c r="B145" t="s">
        <v>50</v>
      </c>
      <c r="C145">
        <v>23.56666666666667</v>
      </c>
      <c r="D145">
        <v>23.56666666666667</v>
      </c>
      <c r="E145">
        <v>0</v>
      </c>
      <c r="F145">
        <v>27.374999999999961</v>
      </c>
      <c r="G145">
        <v>0</v>
      </c>
      <c r="H145">
        <v>2.3075735939375508</v>
      </c>
      <c r="I145">
        <v>0</v>
      </c>
      <c r="J145">
        <v>28.993388199051822</v>
      </c>
      <c r="K145">
        <v>0.3454451519070621</v>
      </c>
      <c r="L145">
        <v>0</v>
      </c>
      <c r="M145">
        <v>1.29230258223817E-2</v>
      </c>
      <c r="N145">
        <v>0</v>
      </c>
      <c r="O145" t="s">
        <v>48</v>
      </c>
      <c r="P145">
        <v>13.56666666666667</v>
      </c>
      <c r="Q145">
        <v>0.36916099773242628</v>
      </c>
      <c r="R145">
        <v>25.90000000000013</v>
      </c>
      <c r="S145">
        <v>0</v>
      </c>
      <c r="T145">
        <v>31.11037299665006</v>
      </c>
      <c r="U145">
        <v>2.2624892884695669</v>
      </c>
      <c r="V145">
        <v>1.6251241625100589E-2</v>
      </c>
      <c r="W145">
        <v>0.3347092315256564</v>
      </c>
      <c r="X145">
        <v>1.2426666666666669E-2</v>
      </c>
      <c r="Y145">
        <v>6.2133333333333329E-3</v>
      </c>
      <c r="Z145">
        <v>29.78688303253967</v>
      </c>
      <c r="AA145">
        <v>1.8219266931664441E-2</v>
      </c>
      <c r="AB145">
        <v>0</v>
      </c>
      <c r="AC145">
        <v>0</v>
      </c>
      <c r="AD145">
        <v>0</v>
      </c>
      <c r="AE145">
        <v>0</v>
      </c>
      <c r="AH145">
        <f>D145-D144</f>
        <v>5.5833333333333393</v>
      </c>
      <c r="AK145" t="s">
        <v>55</v>
      </c>
      <c r="AL145">
        <f>AVERAGE(AH10:AH180)</f>
        <v>2.0792181069958851</v>
      </c>
      <c r="AM145">
        <f>_xlfn.STDEV.S(AH10:AH180)</f>
        <v>1.486098851916668</v>
      </c>
      <c r="AN145">
        <f>AL145+AM145</f>
        <v>3.5653169589125531</v>
      </c>
      <c r="AO145">
        <f>AL145-AM145</f>
        <v>0.59311925507921703</v>
      </c>
      <c r="AQ145">
        <f>AM145/AL145</f>
        <v>0.71473927959574524</v>
      </c>
    </row>
    <row r="146" spans="1:43" x14ac:dyDescent="0.35">
      <c r="A146" t="s">
        <v>49</v>
      </c>
      <c r="B146" t="s">
        <v>50</v>
      </c>
      <c r="C146">
        <v>25.133333333333329</v>
      </c>
      <c r="D146">
        <v>25.133333333333329</v>
      </c>
      <c r="E146">
        <v>0</v>
      </c>
      <c r="F146">
        <v>28.11428571428576</v>
      </c>
      <c r="G146">
        <v>0</v>
      </c>
      <c r="H146">
        <v>2.3246434915373739</v>
      </c>
      <c r="I146">
        <v>0</v>
      </c>
      <c r="J146">
        <v>28.989073560824568</v>
      </c>
      <c r="K146">
        <v>0.2438328224960159</v>
      </c>
      <c r="L146">
        <v>0</v>
      </c>
      <c r="M146">
        <v>1.4257111858292549E-2</v>
      </c>
      <c r="N146">
        <v>0</v>
      </c>
      <c r="O146" t="s">
        <v>48</v>
      </c>
      <c r="P146">
        <v>15.133333333333329</v>
      </c>
      <c r="Q146">
        <v>0.41179138321995462</v>
      </c>
      <c r="R146">
        <v>27.374999999999961</v>
      </c>
      <c r="S146">
        <v>0</v>
      </c>
      <c r="T146">
        <v>31.521045562284229</v>
      </c>
      <c r="U146">
        <v>2.2724689651159009</v>
      </c>
      <c r="V146">
        <v>1.6790042992764549E-2</v>
      </c>
      <c r="W146">
        <v>0.34817905717047448</v>
      </c>
      <c r="X146">
        <v>1.305333333333333E-2</v>
      </c>
      <c r="Y146">
        <v>6.5266666666666667E-3</v>
      </c>
      <c r="Z146">
        <v>31.11037299665006</v>
      </c>
      <c r="AA146">
        <v>1.4805946976648819E-2</v>
      </c>
      <c r="AB146">
        <v>0</v>
      </c>
      <c r="AC146">
        <v>0</v>
      </c>
      <c r="AD146">
        <v>0</v>
      </c>
      <c r="AE146">
        <v>0</v>
      </c>
      <c r="AH146">
        <f t="shared" ref="AH146:AH152" si="16">D146-D145</f>
        <v>1.5666666666666593</v>
      </c>
      <c r="AL146" t="s">
        <v>51</v>
      </c>
      <c r="AM146" t="s">
        <v>52</v>
      </c>
    </row>
    <row r="147" spans="1:43" x14ac:dyDescent="0.35">
      <c r="A147" t="s">
        <v>49</v>
      </c>
      <c r="B147" t="s">
        <v>50</v>
      </c>
      <c r="C147">
        <v>26.68333333333333</v>
      </c>
      <c r="D147">
        <v>26.68333333333333</v>
      </c>
      <c r="E147">
        <v>0</v>
      </c>
      <c r="F147">
        <v>28.142857142857061</v>
      </c>
      <c r="G147">
        <v>0</v>
      </c>
      <c r="H147">
        <v>2.3526684973270671</v>
      </c>
      <c r="I147">
        <v>0</v>
      </c>
      <c r="J147">
        <v>28.995000000000001</v>
      </c>
      <c r="K147">
        <v>0.34837462255010071</v>
      </c>
      <c r="L147">
        <v>0</v>
      </c>
      <c r="M147">
        <v>1.5566967864669859E-2</v>
      </c>
      <c r="N147">
        <v>0</v>
      </c>
      <c r="O147" t="s">
        <v>48</v>
      </c>
      <c r="P147">
        <v>16.68333333333333</v>
      </c>
      <c r="Q147">
        <v>0.45396825396825391</v>
      </c>
      <c r="R147">
        <v>28.11428571428576</v>
      </c>
      <c r="S147">
        <v>0</v>
      </c>
      <c r="T147">
        <v>31.943432005095879</v>
      </c>
      <c r="U147">
        <v>2.2828255588058179</v>
      </c>
      <c r="V147">
        <v>1.7268163902103121E-2</v>
      </c>
      <c r="W147">
        <v>0.360274340850948</v>
      </c>
      <c r="X147">
        <v>1.3673333333333331E-2</v>
      </c>
      <c r="Y147">
        <v>6.8366666666666662E-3</v>
      </c>
      <c r="Z147">
        <v>31.521045562284229</v>
      </c>
      <c r="AA147">
        <v>1.8995521840757972E-2</v>
      </c>
      <c r="AB147">
        <v>0</v>
      </c>
      <c r="AC147">
        <v>0</v>
      </c>
      <c r="AD147">
        <v>0</v>
      </c>
      <c r="AE147">
        <v>0</v>
      </c>
      <c r="AH147">
        <f t="shared" si="16"/>
        <v>1.5500000000000007</v>
      </c>
      <c r="AK147" t="s">
        <v>55</v>
      </c>
      <c r="AL147">
        <f>MAX(AH10:AH180)</f>
        <v>8</v>
      </c>
      <c r="AM147">
        <f>MIN(AH10:AH180)</f>
        <v>0.59999999999999787</v>
      </c>
      <c r="AQ147">
        <f>AQ145-AQ144</f>
        <v>0.16670209759574528</v>
      </c>
    </row>
    <row r="148" spans="1:43" x14ac:dyDescent="0.35">
      <c r="A148" t="s">
        <v>49</v>
      </c>
      <c r="B148" t="s">
        <v>50</v>
      </c>
      <c r="C148">
        <v>28.15</v>
      </c>
      <c r="D148">
        <v>28.15</v>
      </c>
      <c r="E148">
        <v>0</v>
      </c>
      <c r="F148">
        <v>29.460714285714271</v>
      </c>
      <c r="G148">
        <v>0</v>
      </c>
      <c r="H148">
        <v>2.3757208825655791</v>
      </c>
      <c r="I148">
        <v>0</v>
      </c>
      <c r="J148">
        <v>28.995000000000001</v>
      </c>
      <c r="K148">
        <v>0.46696037852583427</v>
      </c>
      <c r="L148">
        <v>0</v>
      </c>
      <c r="M148">
        <v>1.5407794866147941E-2</v>
      </c>
      <c r="N148">
        <v>0</v>
      </c>
      <c r="O148" t="s">
        <v>48</v>
      </c>
      <c r="P148">
        <v>18.149999999999999</v>
      </c>
      <c r="Q148">
        <v>0.49387755102040809</v>
      </c>
      <c r="R148">
        <v>28.142857142857061</v>
      </c>
      <c r="S148">
        <v>0</v>
      </c>
      <c r="T148">
        <v>32.357401872036696</v>
      </c>
      <c r="U148">
        <v>2.2930677912702619</v>
      </c>
      <c r="V148">
        <v>1.7699264409634732E-2</v>
      </c>
      <c r="W148">
        <v>0.37147983472849949</v>
      </c>
      <c r="X148">
        <v>1.426E-2</v>
      </c>
      <c r="Y148">
        <v>7.1299999999999992E-3</v>
      </c>
      <c r="Z148">
        <v>31.943432005095879</v>
      </c>
      <c r="AA148">
        <v>2.233579751349438E-2</v>
      </c>
      <c r="AB148">
        <v>0</v>
      </c>
      <c r="AC148">
        <v>0</v>
      </c>
      <c r="AD148">
        <v>0</v>
      </c>
      <c r="AE148">
        <v>0</v>
      </c>
      <c r="AH148">
        <f t="shared" si="16"/>
        <v>1.4666666666666686</v>
      </c>
      <c r="AQ148">
        <f>AQ145</f>
        <v>0.71473927959574524</v>
      </c>
    </row>
    <row r="149" spans="1:43" x14ac:dyDescent="0.35">
      <c r="A149" t="s">
        <v>49</v>
      </c>
      <c r="B149" t="s">
        <v>50</v>
      </c>
      <c r="C149">
        <v>31.18333333333333</v>
      </c>
      <c r="D149">
        <v>31.18333333333333</v>
      </c>
      <c r="E149">
        <v>0</v>
      </c>
      <c r="F149">
        <v>30.54107142857147</v>
      </c>
      <c r="G149">
        <v>0</v>
      </c>
      <c r="H149">
        <v>2.4294808679540152</v>
      </c>
      <c r="I149">
        <v>0</v>
      </c>
      <c r="J149">
        <v>28.98</v>
      </c>
      <c r="K149">
        <v>0.13934961468362339</v>
      </c>
      <c r="L149">
        <v>0</v>
      </c>
      <c r="M149">
        <v>1.3566076617319921E-2</v>
      </c>
      <c r="N149">
        <v>0</v>
      </c>
      <c r="O149" t="s">
        <v>48</v>
      </c>
      <c r="P149">
        <v>21.18333333333333</v>
      </c>
      <c r="Q149">
        <v>0.57641723356009056</v>
      </c>
      <c r="R149">
        <v>29.460714285714271</v>
      </c>
      <c r="S149">
        <v>0</v>
      </c>
      <c r="T149">
        <v>33.255832494822322</v>
      </c>
      <c r="U149">
        <v>2.315615591595817</v>
      </c>
      <c r="V149">
        <v>1.8513082734325021E-2</v>
      </c>
      <c r="W149">
        <v>0.39344690535393723</v>
      </c>
      <c r="X149">
        <v>1.547333333333333E-2</v>
      </c>
      <c r="Y149">
        <v>7.736666666666666E-3</v>
      </c>
      <c r="Z149">
        <v>32.357401872036696</v>
      </c>
      <c r="AA149">
        <v>1.014663618242141E-2</v>
      </c>
      <c r="AB149">
        <v>0</v>
      </c>
      <c r="AC149">
        <v>0</v>
      </c>
      <c r="AD149">
        <v>0</v>
      </c>
      <c r="AE149">
        <v>0</v>
      </c>
      <c r="AH149">
        <f t="shared" si="16"/>
        <v>3.0333333333333314</v>
      </c>
    </row>
    <row r="150" spans="1:43" x14ac:dyDescent="0.35">
      <c r="A150" t="s">
        <v>49</v>
      </c>
      <c r="B150" t="s">
        <v>50</v>
      </c>
      <c r="C150">
        <v>34.183333333333337</v>
      </c>
      <c r="D150">
        <v>34.183333333333337</v>
      </c>
      <c r="E150">
        <v>0</v>
      </c>
      <c r="F150">
        <v>30.00357142857132</v>
      </c>
      <c r="G150">
        <v>0</v>
      </c>
      <c r="H150">
        <v>2.4517041475763959</v>
      </c>
      <c r="I150">
        <v>0</v>
      </c>
      <c r="J150">
        <v>28.995000000000001</v>
      </c>
      <c r="K150">
        <v>8.8557638827589422E-2</v>
      </c>
      <c r="L150">
        <v>0</v>
      </c>
      <c r="M150">
        <v>1.490221644458623E-2</v>
      </c>
      <c r="N150">
        <v>0</v>
      </c>
      <c r="O150" t="s">
        <v>48</v>
      </c>
      <c r="P150">
        <v>24.183333333333341</v>
      </c>
      <c r="Q150">
        <v>0.65804988662131525</v>
      </c>
      <c r="R150">
        <v>30.54107142857147</v>
      </c>
      <c r="S150">
        <v>0</v>
      </c>
      <c r="T150">
        <v>34.197353428166309</v>
      </c>
      <c r="U150">
        <v>2.3397256157058171</v>
      </c>
      <c r="V150">
        <v>1.9190705221934772E-2</v>
      </c>
      <c r="W150">
        <v>0.41257443181933873</v>
      </c>
      <c r="X150">
        <v>1.6673333333333339E-2</v>
      </c>
      <c r="Y150">
        <v>8.3366666666666676E-3</v>
      </c>
      <c r="Z150">
        <v>33.255832494822322</v>
      </c>
      <c r="AA150">
        <v>9.0298793488407803E-3</v>
      </c>
      <c r="AB150">
        <v>0</v>
      </c>
      <c r="AC150">
        <v>0</v>
      </c>
      <c r="AD150">
        <v>0</v>
      </c>
      <c r="AE150">
        <v>0</v>
      </c>
      <c r="AH150">
        <f t="shared" si="16"/>
        <v>3.0000000000000071</v>
      </c>
    </row>
    <row r="151" spans="1:43" x14ac:dyDescent="0.35">
      <c r="A151" t="s">
        <v>49</v>
      </c>
      <c r="B151" t="s">
        <v>50</v>
      </c>
      <c r="C151">
        <v>35.700000000000003</v>
      </c>
      <c r="D151">
        <v>35.700000000000003</v>
      </c>
      <c r="E151">
        <v>0</v>
      </c>
      <c r="F151">
        <v>30.128571428571512</v>
      </c>
      <c r="G151">
        <v>0</v>
      </c>
      <c r="H151">
        <v>2.481063784627632</v>
      </c>
      <c r="I151">
        <v>0</v>
      </c>
      <c r="J151">
        <v>29.01</v>
      </c>
      <c r="K151">
        <v>0.2239877292055531</v>
      </c>
      <c r="L151">
        <v>0</v>
      </c>
      <c r="M151">
        <v>1.5594213571665509E-2</v>
      </c>
      <c r="N151">
        <v>0</v>
      </c>
      <c r="O151" t="s">
        <v>48</v>
      </c>
      <c r="P151">
        <v>25.7</v>
      </c>
      <c r="Q151">
        <v>0.6993197278911566</v>
      </c>
      <c r="R151">
        <v>30.00357142857132</v>
      </c>
      <c r="S151">
        <v>0</v>
      </c>
      <c r="T151">
        <v>34.692192276089983</v>
      </c>
      <c r="U151">
        <v>2.3525996008020118</v>
      </c>
      <c r="V151">
        <v>1.948896483444288E-2</v>
      </c>
      <c r="W151">
        <v>0.4212984636054069</v>
      </c>
      <c r="X151">
        <v>1.728E-2</v>
      </c>
      <c r="Y151">
        <v>8.6400000000000001E-3</v>
      </c>
      <c r="Z151">
        <v>34.197353428166309</v>
      </c>
      <c r="AA151">
        <v>1.371968923896166E-2</v>
      </c>
      <c r="AB151">
        <v>0</v>
      </c>
      <c r="AC151">
        <v>0</v>
      </c>
      <c r="AD151">
        <v>0</v>
      </c>
      <c r="AE151">
        <v>0</v>
      </c>
      <c r="AH151">
        <f t="shared" si="16"/>
        <v>1.5166666666666657</v>
      </c>
    </row>
    <row r="152" spans="1:43" x14ac:dyDescent="0.35">
      <c r="A152" t="s">
        <v>49</v>
      </c>
      <c r="B152" t="s">
        <v>50</v>
      </c>
      <c r="C152">
        <v>36.75</v>
      </c>
      <c r="D152">
        <v>36.75</v>
      </c>
      <c r="E152">
        <v>0</v>
      </c>
      <c r="F152">
        <v>30.54107142857147</v>
      </c>
      <c r="G152">
        <v>0</v>
      </c>
      <c r="H152">
        <v>2.4970324221014528</v>
      </c>
      <c r="I152">
        <v>0</v>
      </c>
      <c r="J152">
        <v>28.98</v>
      </c>
      <c r="K152">
        <v>0.51985514485504325</v>
      </c>
      <c r="L152">
        <v>0</v>
      </c>
      <c r="M152">
        <v>1.3510590412254331E-2</v>
      </c>
      <c r="N152">
        <v>0</v>
      </c>
      <c r="O152" t="s">
        <v>48</v>
      </c>
      <c r="P152">
        <v>26.75</v>
      </c>
      <c r="Q152">
        <v>0.72789115646258506</v>
      </c>
      <c r="R152">
        <v>30.128571428571512</v>
      </c>
      <c r="S152">
        <v>0</v>
      </c>
      <c r="T152">
        <v>35.04183579224857</v>
      </c>
      <c r="U152">
        <v>2.3617818599842622</v>
      </c>
      <c r="V152">
        <v>1.9704974853183541E-2</v>
      </c>
      <c r="W152">
        <v>0.42788300602143547</v>
      </c>
      <c r="X152">
        <v>1.77E-2</v>
      </c>
      <c r="Y152">
        <v>8.8500000000000002E-3</v>
      </c>
      <c r="Z152">
        <v>34.692192276089983</v>
      </c>
      <c r="AA152">
        <v>2.2432168527554801E-2</v>
      </c>
      <c r="AB152">
        <v>0</v>
      </c>
      <c r="AC152">
        <v>0</v>
      </c>
      <c r="AD152">
        <v>0</v>
      </c>
      <c r="AE152">
        <v>0</v>
      </c>
      <c r="AH152">
        <f t="shared" si="16"/>
        <v>1.0499999999999972</v>
      </c>
    </row>
    <row r="154" spans="1:43" x14ac:dyDescent="0.35">
      <c r="AF154">
        <v>0.75</v>
      </c>
    </row>
    <row r="155" spans="1:43" x14ac:dyDescent="0.35">
      <c r="AF155">
        <v>0.66666666666666563</v>
      </c>
    </row>
    <row r="156" spans="1:43" x14ac:dyDescent="0.35">
      <c r="AF156">
        <v>0.66666666666666829</v>
      </c>
    </row>
    <row r="157" spans="1:43" x14ac:dyDescent="0.35">
      <c r="AF157">
        <v>0.66666666666666563</v>
      </c>
    </row>
    <row r="158" spans="1:43" x14ac:dyDescent="0.35">
      <c r="AA158" s="2"/>
      <c r="AF158">
        <v>0.83333333333333304</v>
      </c>
    </row>
    <row r="159" spans="1:43" x14ac:dyDescent="0.35">
      <c r="AA159" s="2"/>
      <c r="AF159">
        <v>0.94999999999999973</v>
      </c>
    </row>
    <row r="160" spans="1:43" x14ac:dyDescent="0.35">
      <c r="AA160" s="2"/>
      <c r="AG160">
        <v>1.0166666666666675</v>
      </c>
    </row>
    <row r="161" spans="27:34" x14ac:dyDescent="0.35">
      <c r="AA161" s="2"/>
      <c r="AG161">
        <v>0.70000000000000107</v>
      </c>
    </row>
    <row r="162" spans="27:34" x14ac:dyDescent="0.35">
      <c r="AA162" s="2"/>
      <c r="AG162">
        <v>1.2499999999999982</v>
      </c>
    </row>
    <row r="163" spans="27:34" x14ac:dyDescent="0.35">
      <c r="AA163" s="2"/>
      <c r="AG163">
        <v>0.83333333333333304</v>
      </c>
    </row>
    <row r="164" spans="27:34" x14ac:dyDescent="0.35">
      <c r="AA164" s="2"/>
      <c r="AG164">
        <v>0.45000000000000284</v>
      </c>
    </row>
    <row r="165" spans="27:34" x14ac:dyDescent="0.35">
      <c r="AH165">
        <v>1.2833333333333314</v>
      </c>
    </row>
    <row r="166" spans="27:34" x14ac:dyDescent="0.35">
      <c r="AH166">
        <v>1.0500000000000007</v>
      </c>
    </row>
    <row r="167" spans="27:34" x14ac:dyDescent="0.35">
      <c r="AH167">
        <v>0.88333333333332931</v>
      </c>
    </row>
    <row r="168" spans="27:34" x14ac:dyDescent="0.35">
      <c r="AH168">
        <v>0.9166666666666714</v>
      </c>
    </row>
    <row r="169" spans="27:34" x14ac:dyDescent="0.35">
      <c r="AH169">
        <v>1.25</v>
      </c>
    </row>
    <row r="170" spans="27:34" x14ac:dyDescent="0.35">
      <c r="AH170">
        <v>1.5833333333333321</v>
      </c>
    </row>
    <row r="171" spans="27:34" x14ac:dyDescent="0.35">
      <c r="AH171">
        <v>2</v>
      </c>
    </row>
    <row r="172" spans="27:34" x14ac:dyDescent="0.35">
      <c r="AH172">
        <v>4.3333333333333321</v>
      </c>
    </row>
    <row r="173" spans="27:34" x14ac:dyDescent="0.35">
      <c r="AH173">
        <v>1.6666666666666679</v>
      </c>
    </row>
    <row r="174" spans="27:34" x14ac:dyDescent="0.35">
      <c r="AH174">
        <v>2.5</v>
      </c>
    </row>
    <row r="175" spans="27:34" x14ac:dyDescent="0.35">
      <c r="AH175">
        <v>1.6666666666666679</v>
      </c>
    </row>
    <row r="176" spans="27:34" x14ac:dyDescent="0.35">
      <c r="AH176">
        <v>2.8666666666666671</v>
      </c>
    </row>
    <row r="177" spans="1:34" x14ac:dyDescent="0.35">
      <c r="AH177">
        <v>2.9333333333333265</v>
      </c>
    </row>
    <row r="178" spans="1:34" x14ac:dyDescent="0.35">
      <c r="AH178">
        <v>3.0333333333333314</v>
      </c>
    </row>
    <row r="179" spans="1:34" x14ac:dyDescent="0.35">
      <c r="AH179">
        <v>2.5</v>
      </c>
    </row>
    <row r="180" spans="1:34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7">
        <v>7.2833333333333385</v>
      </c>
    </row>
    <row r="231" spans="27:27" x14ac:dyDescent="0.35">
      <c r="AA231" s="2"/>
    </row>
    <row r="232" spans="27:27" x14ac:dyDescent="0.35">
      <c r="AA232" s="2"/>
    </row>
    <row r="233" spans="27:27" x14ac:dyDescent="0.35">
      <c r="AA233" s="2"/>
    </row>
    <row r="234" spans="27:27" x14ac:dyDescent="0.35">
      <c r="AA234" s="2"/>
    </row>
    <row r="235" spans="27:27" x14ac:dyDescent="0.35">
      <c r="AA235" s="2"/>
    </row>
    <row r="236" spans="27:27" x14ac:dyDescent="0.35">
      <c r="AA236" s="2"/>
    </row>
    <row r="237" spans="27:27" x14ac:dyDescent="0.35">
      <c r="AA237" s="2"/>
    </row>
    <row r="238" spans="27:27" x14ac:dyDescent="0.35">
      <c r="AA238" s="2"/>
    </row>
    <row r="239" spans="27:27" x14ac:dyDescent="0.35">
      <c r="AA239" s="2"/>
    </row>
    <row r="240" spans="27:27" x14ac:dyDescent="0.35">
      <c r="AA240" s="2"/>
    </row>
    <row r="241" spans="27:27" x14ac:dyDescent="0.35">
      <c r="AA241" s="2"/>
    </row>
    <row r="242" spans="27:27" x14ac:dyDescent="0.35">
      <c r="AA242" s="2"/>
    </row>
    <row r="243" spans="27:27" x14ac:dyDescent="0.35">
      <c r="AA243" s="2"/>
    </row>
  </sheetData>
  <autoFilter ref="A1:AO152" xr:uid="{00000000-0001-0000-0000-000000000000}"/>
  <sortState xmlns:xlrd2="http://schemas.microsoft.com/office/spreadsheetml/2017/richdata2" ref="AN3:AN173">
    <sortCondition descending="1" ref="AN3:AN173"/>
  </sortState>
  <conditionalFormatting sqref="AF3:AF159">
    <cfRule type="cellIs" dxfId="5" priority="6" operator="greaterThan">
      <formula>$AN$131</formula>
    </cfRule>
    <cfRule type="cellIs" dxfId="4" priority="5" operator="between">
      <formula>0.001</formula>
      <formula>$AO$131</formula>
    </cfRule>
  </conditionalFormatting>
  <conditionalFormatting sqref="AG6:AG164">
    <cfRule type="cellIs" dxfId="3" priority="4" operator="greaterThan">
      <formula>$AN$138</formula>
    </cfRule>
    <cfRule type="cellIs" dxfId="2" priority="3" operator="between">
      <formula>0.00001</formula>
      <formula>$AO$138</formula>
    </cfRule>
  </conditionalFormatting>
  <conditionalFormatting sqref="AH10:AH180">
    <cfRule type="cellIs" dxfId="1" priority="2" operator="greaterThan">
      <formula>$AN$145</formula>
    </cfRule>
    <cfRule type="cellIs" dxfId="0" priority="1" operator="between">
      <formula>0.0001</formula>
      <formula>$AO$145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Juan-Camilo Castano-Sanchez</cp:lastModifiedBy>
  <dcterms:created xsi:type="dcterms:W3CDTF">2026-06-09T13:19:34Z</dcterms:created>
  <dcterms:modified xsi:type="dcterms:W3CDTF">2026-07-24T17:51:16Z</dcterms:modified>
</cp:coreProperties>
</file>